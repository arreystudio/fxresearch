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comments+xml" PartName="/xl/comments1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IKA APRIL 2019\POSTECH 2025\Materi Kuliah\Capstone\"/>
    </mc:Choice>
  </mc:AlternateContent>
  <xr:revisionPtr revIDLastSave="0" documentId="13_ncr:1_{0EAE1813-E000-4CC0-A454-074C3FFB233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Quarterly_Firm" sheetId="1" r:id="rId1"/>
    <sheet name="FX_Calc" sheetId="2" r:id="rId2"/>
    <sheet name="CFV_Calc" sheetId="3" r:id="rId3"/>
    <sheet name="Constructed_Variables" sheetId="4" r:id="rId4"/>
    <sheet name="Notes" sheetId="5" r:id="rId5"/>
    <sheet name="Charts" sheetId="6" r:id="rId6"/>
    <sheet name="Daily_FX" sheetId="7" r:id="rId7"/>
    <sheet name="Monthly_FX" sheetId="8" r:id="rId8"/>
    <sheet name="Quarterly_FX" sheetId="9" r:id="rId9"/>
    <sheet name="FX_Volatility_Explained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4" l="1"/>
  <c r="H51" i="4"/>
  <c r="G51" i="4"/>
  <c r="F51" i="4"/>
  <c r="C51" i="4"/>
  <c r="B51" i="4"/>
  <c r="A51" i="4"/>
  <c r="I50" i="4"/>
  <c r="H50" i="4"/>
  <c r="G50" i="4"/>
  <c r="F50" i="4"/>
  <c r="C50" i="4"/>
  <c r="B50" i="4"/>
  <c r="A50" i="4"/>
  <c r="I49" i="4"/>
  <c r="H49" i="4"/>
  <c r="G49" i="4"/>
  <c r="F49" i="4"/>
  <c r="C49" i="4"/>
  <c r="B49" i="4"/>
  <c r="A49" i="4"/>
  <c r="I48" i="4"/>
  <c r="H48" i="4"/>
  <c r="G48" i="4"/>
  <c r="F48" i="4"/>
  <c r="C48" i="4"/>
  <c r="B48" i="4"/>
  <c r="A48" i="4"/>
  <c r="I47" i="4"/>
  <c r="H47" i="4"/>
  <c r="G47" i="4"/>
  <c r="F47" i="4"/>
  <c r="C47" i="4"/>
  <c r="B47" i="4"/>
  <c r="A47" i="4"/>
  <c r="I46" i="4"/>
  <c r="H46" i="4"/>
  <c r="G46" i="4"/>
  <c r="F46" i="4"/>
  <c r="C46" i="4"/>
  <c r="B46" i="4"/>
  <c r="A46" i="4"/>
  <c r="I45" i="4"/>
  <c r="H45" i="4"/>
  <c r="G45" i="4"/>
  <c r="F45" i="4"/>
  <c r="C45" i="4"/>
  <c r="B45" i="4"/>
  <c r="A45" i="4"/>
  <c r="I44" i="4"/>
  <c r="H44" i="4"/>
  <c r="G44" i="4"/>
  <c r="F44" i="4"/>
  <c r="C44" i="4"/>
  <c r="B44" i="4"/>
  <c r="A44" i="4"/>
  <c r="I43" i="4"/>
  <c r="H43" i="4"/>
  <c r="G43" i="4"/>
  <c r="F43" i="4"/>
  <c r="C43" i="4"/>
  <c r="B43" i="4"/>
  <c r="A43" i="4"/>
  <c r="I42" i="4"/>
  <c r="H42" i="4"/>
  <c r="G42" i="4"/>
  <c r="F42" i="4"/>
  <c r="C42" i="4"/>
  <c r="B42" i="4"/>
  <c r="A42" i="4"/>
  <c r="I41" i="4"/>
  <c r="H41" i="4"/>
  <c r="G41" i="4"/>
  <c r="F41" i="4"/>
  <c r="C41" i="4"/>
  <c r="B41" i="4"/>
  <c r="A41" i="4"/>
  <c r="I40" i="4"/>
  <c r="H40" i="4"/>
  <c r="G40" i="4"/>
  <c r="F40" i="4"/>
  <c r="C40" i="4"/>
  <c r="B40" i="4"/>
  <c r="A40" i="4"/>
  <c r="I39" i="4"/>
  <c r="H39" i="4"/>
  <c r="G39" i="4"/>
  <c r="F39" i="4"/>
  <c r="C39" i="4"/>
  <c r="B39" i="4"/>
  <c r="A39" i="4"/>
  <c r="I38" i="4"/>
  <c r="H38" i="4"/>
  <c r="G38" i="4"/>
  <c r="F38" i="4"/>
  <c r="C38" i="4"/>
  <c r="B38" i="4"/>
  <c r="A38" i="4"/>
  <c r="I37" i="4"/>
  <c r="H37" i="4"/>
  <c r="G37" i="4"/>
  <c r="F37" i="4"/>
  <c r="C37" i="4"/>
  <c r="B37" i="4"/>
  <c r="A37" i="4"/>
  <c r="I36" i="4"/>
  <c r="H36" i="4"/>
  <c r="G36" i="4"/>
  <c r="F36" i="4"/>
  <c r="C36" i="4"/>
  <c r="B36" i="4"/>
  <c r="A36" i="4"/>
  <c r="I35" i="4"/>
  <c r="H35" i="4"/>
  <c r="G35" i="4"/>
  <c r="F35" i="4"/>
  <c r="C35" i="4"/>
  <c r="B35" i="4"/>
  <c r="A35" i="4"/>
  <c r="I34" i="4"/>
  <c r="H34" i="4"/>
  <c r="G34" i="4"/>
  <c r="F34" i="4"/>
  <c r="C34" i="4"/>
  <c r="B34" i="4"/>
  <c r="A34" i="4"/>
  <c r="I33" i="4"/>
  <c r="H33" i="4"/>
  <c r="G33" i="4"/>
  <c r="F33" i="4"/>
  <c r="C33" i="4"/>
  <c r="B33" i="4"/>
  <c r="A33" i="4"/>
  <c r="I32" i="4"/>
  <c r="H32" i="4"/>
  <c r="G32" i="4"/>
  <c r="F32" i="4"/>
  <c r="C32" i="4"/>
  <c r="B32" i="4"/>
  <c r="A32" i="4"/>
  <c r="I31" i="4"/>
  <c r="H31" i="4"/>
  <c r="G31" i="4"/>
  <c r="F31" i="4"/>
  <c r="C31" i="4"/>
  <c r="B31" i="4"/>
  <c r="A31" i="4"/>
  <c r="I30" i="4"/>
  <c r="H30" i="4"/>
  <c r="G30" i="4"/>
  <c r="F30" i="4"/>
  <c r="C30" i="4"/>
  <c r="B30" i="4"/>
  <c r="A30" i="4"/>
  <c r="I29" i="4"/>
  <c r="H29" i="4"/>
  <c r="G29" i="4"/>
  <c r="F29" i="4"/>
  <c r="C29" i="4"/>
  <c r="B29" i="4"/>
  <c r="A29" i="4"/>
  <c r="I28" i="4"/>
  <c r="H28" i="4"/>
  <c r="G28" i="4"/>
  <c r="F28" i="4"/>
  <c r="C28" i="4"/>
  <c r="B28" i="4"/>
  <c r="A28" i="4"/>
  <c r="I27" i="4"/>
  <c r="H27" i="4"/>
  <c r="G27" i="4"/>
  <c r="F27" i="4"/>
  <c r="C27" i="4"/>
  <c r="B27" i="4"/>
  <c r="A27" i="4"/>
  <c r="I26" i="4"/>
  <c r="H26" i="4"/>
  <c r="G26" i="4"/>
  <c r="F26" i="4"/>
  <c r="C26" i="4"/>
  <c r="B26" i="4"/>
  <c r="A26" i="4"/>
  <c r="I25" i="4"/>
  <c r="H25" i="4"/>
  <c r="G25" i="4"/>
  <c r="F25" i="4"/>
  <c r="C25" i="4"/>
  <c r="B25" i="4"/>
  <c r="A25" i="4"/>
  <c r="I24" i="4"/>
  <c r="H24" i="4"/>
  <c r="G24" i="4"/>
  <c r="F24" i="4"/>
  <c r="C24" i="4"/>
  <c r="B24" i="4"/>
  <c r="A24" i="4"/>
  <c r="I23" i="4"/>
  <c r="H23" i="4"/>
  <c r="G23" i="4"/>
  <c r="F23" i="4"/>
  <c r="C23" i="4"/>
  <c r="B23" i="4"/>
  <c r="A23" i="4"/>
  <c r="I22" i="4"/>
  <c r="H22" i="4"/>
  <c r="G22" i="4"/>
  <c r="F22" i="4"/>
  <c r="C22" i="4"/>
  <c r="B22" i="4"/>
  <c r="A22" i="4"/>
  <c r="I21" i="4"/>
  <c r="H21" i="4"/>
  <c r="G21" i="4"/>
  <c r="F21" i="4"/>
  <c r="C21" i="4"/>
  <c r="B21" i="4"/>
  <c r="A21" i="4"/>
  <c r="I20" i="4"/>
  <c r="H20" i="4"/>
  <c r="G20" i="4"/>
  <c r="F20" i="4"/>
  <c r="C20" i="4"/>
  <c r="B20" i="4"/>
  <c r="A20" i="4"/>
  <c r="I19" i="4"/>
  <c r="H19" i="4"/>
  <c r="G19" i="4"/>
  <c r="F19" i="4"/>
  <c r="C19" i="4"/>
  <c r="B19" i="4"/>
  <c r="A19" i="4"/>
  <c r="I18" i="4"/>
  <c r="H18" i="4"/>
  <c r="G18" i="4"/>
  <c r="F18" i="4"/>
  <c r="C18" i="4"/>
  <c r="B18" i="4"/>
  <c r="A18" i="4"/>
  <c r="E3" i="3"/>
  <c r="I14" i="3"/>
  <c r="D2" i="3"/>
  <c r="D3" i="3"/>
  <c r="E5" i="3"/>
  <c r="D5" i="3"/>
  <c r="E4" i="3"/>
  <c r="D4" i="3"/>
  <c r="E9" i="3"/>
  <c r="E8" i="3"/>
  <c r="E7" i="3"/>
  <c r="E6" i="3"/>
  <c r="D9" i="3"/>
  <c r="D8" i="3"/>
  <c r="D7" i="3"/>
  <c r="D6" i="3"/>
  <c r="E11" i="3"/>
  <c r="E13" i="3"/>
  <c r="E12" i="3"/>
  <c r="E10" i="3"/>
  <c r="D13" i="3"/>
  <c r="D12" i="3"/>
  <c r="D11" i="3"/>
  <c r="D10" i="3"/>
  <c r="Q45" i="1"/>
  <c r="Q44" i="1"/>
  <c r="D63" i="3"/>
  <c r="C63" i="3"/>
  <c r="B63" i="3"/>
  <c r="A63" i="3"/>
  <c r="D62" i="3"/>
  <c r="C62" i="3"/>
  <c r="B62" i="3"/>
  <c r="A62" i="3"/>
  <c r="D61" i="3"/>
  <c r="C61" i="3"/>
  <c r="B61" i="3"/>
  <c r="A61" i="3"/>
  <c r="D60" i="3"/>
  <c r="C60" i="3"/>
  <c r="B60" i="3"/>
  <c r="A60" i="3"/>
  <c r="D59" i="3"/>
  <c r="C59" i="3"/>
  <c r="B59" i="3"/>
  <c r="A59" i="3"/>
  <c r="D58" i="3"/>
  <c r="C58" i="3"/>
  <c r="B58" i="3"/>
  <c r="A58" i="3"/>
  <c r="D57" i="3"/>
  <c r="C57" i="3"/>
  <c r="B57" i="3"/>
  <c r="A57" i="3"/>
  <c r="D56" i="3"/>
  <c r="C56" i="3"/>
  <c r="B56" i="3"/>
  <c r="A56" i="3"/>
  <c r="D55" i="3"/>
  <c r="C55" i="3"/>
  <c r="B55" i="3"/>
  <c r="A55" i="3"/>
  <c r="D54" i="3"/>
  <c r="C54" i="3"/>
  <c r="B54" i="3"/>
  <c r="A54" i="3"/>
  <c r="D53" i="3"/>
  <c r="C53" i="3"/>
  <c r="B53" i="3"/>
  <c r="A53" i="3"/>
  <c r="D52" i="3"/>
  <c r="C52" i="3"/>
  <c r="B52" i="3"/>
  <c r="A52" i="3"/>
  <c r="D51" i="3"/>
  <c r="C51" i="3"/>
  <c r="B51" i="3"/>
  <c r="A51" i="3"/>
  <c r="D50" i="3"/>
  <c r="C50" i="3"/>
  <c r="B50" i="3"/>
  <c r="A50" i="3"/>
  <c r="D49" i="3"/>
  <c r="C49" i="3"/>
  <c r="B49" i="3"/>
  <c r="A49" i="3"/>
  <c r="D48" i="3"/>
  <c r="C48" i="3"/>
  <c r="B48" i="3"/>
  <c r="A48" i="3"/>
  <c r="D47" i="3"/>
  <c r="C47" i="3"/>
  <c r="B47" i="3"/>
  <c r="A47" i="3"/>
  <c r="D46" i="3"/>
  <c r="C46" i="3"/>
  <c r="B46" i="3"/>
  <c r="A46" i="3"/>
  <c r="D45" i="3"/>
  <c r="C45" i="3"/>
  <c r="B45" i="3"/>
  <c r="A45" i="3"/>
  <c r="D44" i="3"/>
  <c r="C44" i="3"/>
  <c r="B44" i="3"/>
  <c r="A44" i="3"/>
  <c r="D43" i="3"/>
  <c r="C43" i="3"/>
  <c r="B43" i="3"/>
  <c r="A43" i="3"/>
  <c r="D42" i="3"/>
  <c r="C42" i="3"/>
  <c r="B42" i="3"/>
  <c r="A42" i="3"/>
  <c r="D41" i="3"/>
  <c r="C41" i="3"/>
  <c r="B41" i="3"/>
  <c r="A41" i="3"/>
  <c r="D40" i="3"/>
  <c r="C40" i="3"/>
  <c r="B40" i="3"/>
  <c r="A40" i="3"/>
  <c r="D39" i="3"/>
  <c r="C39" i="3"/>
  <c r="B39" i="3"/>
  <c r="A39" i="3"/>
  <c r="D38" i="3"/>
  <c r="C38" i="3"/>
  <c r="B38" i="3"/>
  <c r="A38" i="3"/>
  <c r="D37" i="3"/>
  <c r="C37" i="3"/>
  <c r="B37" i="3"/>
  <c r="A37" i="3"/>
  <c r="D36" i="3"/>
  <c r="C36" i="3"/>
  <c r="B36" i="3"/>
  <c r="A36" i="3"/>
  <c r="D35" i="3"/>
  <c r="C35" i="3"/>
  <c r="B35" i="3"/>
  <c r="A35" i="3"/>
  <c r="D34" i="3"/>
  <c r="C34" i="3"/>
  <c r="B34" i="3"/>
  <c r="A34" i="3"/>
  <c r="D33" i="3"/>
  <c r="C33" i="3"/>
  <c r="B33" i="3"/>
  <c r="A33" i="3"/>
  <c r="D32" i="3"/>
  <c r="C32" i="3"/>
  <c r="B32" i="3"/>
  <c r="A32" i="3"/>
  <c r="D31" i="3"/>
  <c r="C31" i="3"/>
  <c r="B31" i="3"/>
  <c r="A31" i="3"/>
  <c r="D30" i="3"/>
  <c r="C30" i="3"/>
  <c r="B30" i="3"/>
  <c r="A30" i="3"/>
  <c r="D3" i="2"/>
  <c r="F14" i="2"/>
  <c r="C5" i="2"/>
  <c r="D5" i="2" s="1"/>
  <c r="C4" i="2"/>
  <c r="D4" i="2" s="1"/>
  <c r="C3" i="2"/>
  <c r="D2" i="2"/>
  <c r="C2" i="2"/>
  <c r="D9" i="2"/>
  <c r="C9" i="2"/>
  <c r="C8" i="2"/>
  <c r="C7" i="2"/>
  <c r="D8" i="2" s="1"/>
  <c r="C6" i="2"/>
  <c r="D6" i="2" s="1"/>
  <c r="D10" i="2"/>
  <c r="E54" i="3" l="1"/>
  <c r="E60" i="3"/>
  <c r="F45" i="3"/>
  <c r="E37" i="3"/>
  <c r="E43" i="3"/>
  <c r="E49" i="3"/>
  <c r="E52" i="3"/>
  <c r="E63" i="3"/>
  <c r="F39" i="3"/>
  <c r="F48" i="3"/>
  <c r="E46" i="3"/>
  <c r="E57" i="3"/>
  <c r="F36" i="3"/>
  <c r="F51" i="3"/>
  <c r="F33" i="3"/>
  <c r="F42" i="3"/>
  <c r="G62" i="3"/>
  <c r="D50" i="4" s="1"/>
  <c r="F56" i="3"/>
  <c r="F43" i="3"/>
  <c r="F58" i="3"/>
  <c r="F61" i="3"/>
  <c r="E35" i="3"/>
  <c r="E55" i="3"/>
  <c r="E32" i="3"/>
  <c r="E41" i="3"/>
  <c r="F38" i="3"/>
  <c r="E56" i="3"/>
  <c r="G41" i="3"/>
  <c r="D29" i="4" s="1"/>
  <c r="E42" i="3"/>
  <c r="F59" i="3"/>
  <c r="F63" i="3"/>
  <c r="G42" i="3"/>
  <c r="D30" i="4" s="1"/>
  <c r="F34" i="3"/>
  <c r="G46" i="3"/>
  <c r="D34" i="4" s="1"/>
  <c r="E61" i="3"/>
  <c r="F46" i="3"/>
  <c r="G50" i="3"/>
  <c r="D38" i="4" s="1"/>
  <c r="G53" i="3"/>
  <c r="D41" i="4" s="1"/>
  <c r="F47" i="3"/>
  <c r="G60" i="3"/>
  <c r="D48" i="4" s="1"/>
  <c r="G63" i="3"/>
  <c r="D51" i="4" s="1"/>
  <c r="F49" i="3"/>
  <c r="E38" i="3"/>
  <c r="E44" i="3"/>
  <c r="F40" i="3"/>
  <c r="G43" i="3"/>
  <c r="D31" i="4" s="1"/>
  <c r="G55" i="3"/>
  <c r="D43" i="4" s="1"/>
  <c r="E58" i="3"/>
  <c r="F50" i="3"/>
  <c r="F55" i="3"/>
  <c r="G49" i="3"/>
  <c r="D37" i="4" s="1"/>
  <c r="F44" i="3"/>
  <c r="F62" i="3"/>
  <c r="G47" i="3"/>
  <c r="D35" i="4" s="1"/>
  <c r="G59" i="3"/>
  <c r="D47" i="4" s="1"/>
  <c r="E33" i="3"/>
  <c r="E50" i="3"/>
  <c r="E59" i="3"/>
  <c r="F54" i="3"/>
  <c r="F57" i="3"/>
  <c r="F60" i="3"/>
  <c r="F37" i="3"/>
  <c r="G52" i="3"/>
  <c r="D40" i="4" s="1"/>
  <c r="F41" i="3"/>
  <c r="E47" i="3"/>
  <c r="G44" i="3"/>
  <c r="D32" i="4" s="1"/>
  <c r="G56" i="3"/>
  <c r="D44" i="4" s="1"/>
  <c r="E36" i="3"/>
  <c r="E39" i="3"/>
  <c r="E31" i="3"/>
  <c r="E45" i="3"/>
  <c r="E48" i="3"/>
  <c r="E62" i="3"/>
  <c r="G45" i="3"/>
  <c r="D33" i="4" s="1"/>
  <c r="G48" i="3"/>
  <c r="D36" i="4" s="1"/>
  <c r="G51" i="3"/>
  <c r="D39" i="4" s="1"/>
  <c r="G54" i="3"/>
  <c r="D42" i="4" s="1"/>
  <c r="G57" i="3"/>
  <c r="D45" i="4" s="1"/>
  <c r="G58" i="3"/>
  <c r="D46" i="4" s="1"/>
  <c r="F53" i="3"/>
  <c r="E34" i="3"/>
  <c r="E51" i="3"/>
  <c r="F52" i="3"/>
  <c r="G61" i="3"/>
  <c r="D49" i="4" s="1"/>
  <c r="F35" i="3"/>
  <c r="E53" i="3"/>
  <c r="E40" i="3"/>
  <c r="D7" i="2"/>
  <c r="H45" i="3" l="1"/>
  <c r="H46" i="3"/>
  <c r="H63" i="3"/>
  <c r="H58" i="3"/>
  <c r="H47" i="3"/>
  <c r="H59" i="3"/>
  <c r="H57" i="3"/>
  <c r="H56" i="3"/>
  <c r="I46" i="3"/>
  <c r="H44" i="3"/>
  <c r="I60" i="3"/>
  <c r="H61" i="3"/>
  <c r="H36" i="3"/>
  <c r="I44" i="3"/>
  <c r="I52" i="3"/>
  <c r="I55" i="3"/>
  <c r="H55" i="3"/>
  <c r="I59" i="3"/>
  <c r="H51" i="3"/>
  <c r="H40" i="3"/>
  <c r="H48" i="3"/>
  <c r="I56" i="3"/>
  <c r="I43" i="3"/>
  <c r="I45" i="3"/>
  <c r="H37" i="3"/>
  <c r="I42" i="3"/>
  <c r="H34" i="3"/>
  <c r="I63" i="3"/>
  <c r="H42" i="3"/>
  <c r="I50" i="3"/>
  <c r="I54" i="3"/>
  <c r="I47" i="3"/>
  <c r="H39" i="3"/>
  <c r="H60" i="3"/>
  <c r="H53" i="3"/>
  <c r="I61" i="3"/>
  <c r="I51" i="3"/>
  <c r="H43" i="3"/>
  <c r="I58" i="3"/>
  <c r="H50" i="3"/>
  <c r="I53" i="3"/>
  <c r="H41" i="3"/>
  <c r="H54" i="3"/>
  <c r="I62" i="3"/>
  <c r="I48" i="3"/>
  <c r="H35" i="3"/>
  <c r="H52" i="3"/>
  <c r="I49" i="3"/>
  <c r="H62" i="3"/>
  <c r="H38" i="3"/>
  <c r="H49" i="3"/>
  <c r="I57" i="3"/>
  <c r="B13" i="2"/>
  <c r="C13" i="2" s="1"/>
  <c r="B12" i="2"/>
  <c r="C12" i="2" s="1"/>
  <c r="B11" i="2"/>
  <c r="C11" i="2" s="1"/>
  <c r="B10" i="2"/>
  <c r="C10" i="2" s="1"/>
  <c r="B63" i="2"/>
  <c r="C63" i="2" s="1"/>
  <c r="B62" i="2"/>
  <c r="C62" i="2" s="1"/>
  <c r="D63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D54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D39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Q51" i="1"/>
  <c r="P51" i="1"/>
  <c r="N51" i="1"/>
  <c r="M51" i="1"/>
  <c r="L51" i="1"/>
  <c r="D45" i="2" l="1"/>
  <c r="D11" i="2"/>
  <c r="D12" i="2"/>
  <c r="D13" i="2"/>
  <c r="D42" i="2"/>
  <c r="D49" i="2"/>
  <c r="D52" i="2"/>
  <c r="D37" i="2"/>
  <c r="D50" i="2"/>
  <c r="D40" i="2"/>
  <c r="D61" i="2"/>
  <c r="D43" i="2"/>
  <c r="D56" i="2"/>
  <c r="D46" i="2"/>
  <c r="D55" i="2"/>
  <c r="D31" i="2"/>
  <c r="D32" i="2"/>
  <c r="D47" i="2"/>
  <c r="E50" i="2" s="1"/>
  <c r="D58" i="2"/>
  <c r="D34" i="2"/>
  <c r="D60" i="2"/>
  <c r="D35" i="2"/>
  <c r="D44" i="2"/>
  <c r="D62" i="2"/>
  <c r="D38" i="2"/>
  <c r="D53" i="2"/>
  <c r="D41" i="2"/>
  <c r="D59" i="2"/>
  <c r="D33" i="2"/>
  <c r="D36" i="2"/>
  <c r="D48" i="2"/>
  <c r="D51" i="2"/>
  <c r="D57" i="2"/>
  <c r="E60" i="2" s="1"/>
  <c r="O4" i="1"/>
  <c r="F50" i="2" l="1"/>
  <c r="E38" i="4" s="1"/>
  <c r="E42" i="2"/>
  <c r="E61" i="2"/>
  <c r="E34" i="2"/>
  <c r="E49" i="2"/>
  <c r="E63" i="2"/>
  <c r="E46" i="2"/>
  <c r="F48" i="2"/>
  <c r="E36" i="4" s="1"/>
  <c r="E56" i="2"/>
  <c r="F46" i="2"/>
  <c r="E34" i="4" s="1"/>
  <c r="E38" i="2"/>
  <c r="F55" i="2"/>
  <c r="E43" i="4" s="1"/>
  <c r="E47" i="2"/>
  <c r="F54" i="2"/>
  <c r="E42" i="4" s="1"/>
  <c r="E36" i="2"/>
  <c r="F44" i="2"/>
  <c r="E32" i="4" s="1"/>
  <c r="E62" i="2"/>
  <c r="E59" i="2"/>
  <c r="F53" i="2"/>
  <c r="E41" i="4" s="1"/>
  <c r="E55" i="2"/>
  <c r="E54" i="2"/>
  <c r="F62" i="2"/>
  <c r="E50" i="4" s="1"/>
  <c r="E51" i="2"/>
  <c r="F59" i="2"/>
  <c r="E47" i="4" s="1"/>
  <c r="E39" i="2"/>
  <c r="F47" i="2"/>
  <c r="E35" i="4" s="1"/>
  <c r="E37" i="2"/>
  <c r="E53" i="2"/>
  <c r="F52" i="2"/>
  <c r="E40" i="4" s="1"/>
  <c r="E44" i="2"/>
  <c r="E45" i="2"/>
  <c r="E35" i="2"/>
  <c r="E43" i="2"/>
  <c r="F56" i="2"/>
  <c r="E44" i="4" s="1"/>
  <c r="F49" i="2"/>
  <c r="E37" i="4" s="1"/>
  <c r="E41" i="2"/>
  <c r="F58" i="2"/>
  <c r="E46" i="4" s="1"/>
  <c r="F57" i="2"/>
  <c r="E45" i="4" s="1"/>
  <c r="F42" i="2"/>
  <c r="E30" i="4" s="1"/>
  <c r="F45" i="2"/>
  <c r="E33" i="4" s="1"/>
  <c r="E57" i="2"/>
  <c r="F61" i="2"/>
  <c r="E49" i="4" s="1"/>
  <c r="E52" i="2"/>
  <c r="F43" i="2"/>
  <c r="E31" i="4" s="1"/>
  <c r="F63" i="2"/>
  <c r="E51" i="4" s="1"/>
  <c r="F60" i="2"/>
  <c r="E48" i="4" s="1"/>
  <c r="E40" i="2"/>
  <c r="E58" i="2"/>
  <c r="F51" i="2"/>
  <c r="E39" i="4" s="1"/>
  <c r="E48" i="2"/>
  <c r="O51" i="1"/>
  <c r="P50" i="1"/>
  <c r="O50" i="1"/>
  <c r="N50" i="1"/>
  <c r="L50" i="1"/>
  <c r="M50" i="1" s="1"/>
  <c r="P49" i="1"/>
  <c r="O49" i="1"/>
  <c r="N49" i="1"/>
  <c r="L49" i="1"/>
  <c r="Q49" i="1" s="1"/>
  <c r="P48" i="1"/>
  <c r="O48" i="1"/>
  <c r="N48" i="1"/>
  <c r="L48" i="1"/>
  <c r="M48" i="1" s="1"/>
  <c r="P47" i="1"/>
  <c r="O47" i="1"/>
  <c r="N47" i="1"/>
  <c r="L47" i="1"/>
  <c r="Q47" i="1" s="1"/>
  <c r="P46" i="1"/>
  <c r="O46" i="1"/>
  <c r="N46" i="1"/>
  <c r="L46" i="1"/>
  <c r="M46" i="1" s="1"/>
  <c r="P45" i="1"/>
  <c r="O45" i="1"/>
  <c r="N45" i="1"/>
  <c r="L45" i="1"/>
  <c r="P44" i="1"/>
  <c r="O44" i="1"/>
  <c r="N44" i="1"/>
  <c r="L44" i="1"/>
  <c r="M44" i="1" s="1"/>
  <c r="P43" i="1"/>
  <c r="O43" i="1"/>
  <c r="N43" i="1"/>
  <c r="L43" i="1"/>
  <c r="Q43" i="1" s="1"/>
  <c r="P42" i="1"/>
  <c r="O42" i="1"/>
  <c r="N42" i="1"/>
  <c r="L42" i="1"/>
  <c r="M42" i="1" s="1"/>
  <c r="P41" i="1"/>
  <c r="O41" i="1"/>
  <c r="N41" i="1"/>
  <c r="L41" i="1"/>
  <c r="Q41" i="1" s="1"/>
  <c r="P40" i="1"/>
  <c r="O40" i="1"/>
  <c r="N40" i="1"/>
  <c r="L40" i="1"/>
  <c r="M40" i="1" s="1"/>
  <c r="P39" i="1"/>
  <c r="O39" i="1"/>
  <c r="N39" i="1"/>
  <c r="L39" i="1"/>
  <c r="Q39" i="1" s="1"/>
  <c r="P38" i="1"/>
  <c r="O38" i="1"/>
  <c r="N38" i="1"/>
  <c r="L38" i="1"/>
  <c r="M38" i="1" s="1"/>
  <c r="P37" i="1"/>
  <c r="O37" i="1"/>
  <c r="N37" i="1"/>
  <c r="L37" i="1"/>
  <c r="Q37" i="1" s="1"/>
  <c r="P36" i="1"/>
  <c r="O36" i="1"/>
  <c r="N36" i="1"/>
  <c r="L36" i="1"/>
  <c r="M36" i="1" s="1"/>
  <c r="P35" i="1"/>
  <c r="O35" i="1"/>
  <c r="N35" i="1"/>
  <c r="L35" i="1"/>
  <c r="Q35" i="1" s="1"/>
  <c r="P34" i="1"/>
  <c r="O34" i="1"/>
  <c r="N34" i="1"/>
  <c r="L34" i="1"/>
  <c r="M34" i="1" s="1"/>
  <c r="P33" i="1"/>
  <c r="O33" i="1"/>
  <c r="N33" i="1"/>
  <c r="L33" i="1"/>
  <c r="Q33" i="1" s="1"/>
  <c r="P32" i="1"/>
  <c r="O32" i="1"/>
  <c r="N32" i="1"/>
  <c r="L32" i="1"/>
  <c r="M32" i="1" s="1"/>
  <c r="P31" i="1"/>
  <c r="O31" i="1"/>
  <c r="N31" i="1"/>
  <c r="L31" i="1"/>
  <c r="Q31" i="1" s="1"/>
  <c r="P30" i="1"/>
  <c r="O30" i="1"/>
  <c r="N30" i="1"/>
  <c r="L30" i="1"/>
  <c r="M30" i="1" s="1"/>
  <c r="P29" i="1"/>
  <c r="O29" i="1"/>
  <c r="N29" i="1"/>
  <c r="L29" i="1"/>
  <c r="Q29" i="1" s="1"/>
  <c r="P28" i="1"/>
  <c r="O28" i="1"/>
  <c r="N28" i="1"/>
  <c r="L28" i="1"/>
  <c r="M28" i="1" s="1"/>
  <c r="P27" i="1"/>
  <c r="O27" i="1"/>
  <c r="N27" i="1"/>
  <c r="L27" i="1"/>
  <c r="Q27" i="1" s="1"/>
  <c r="P26" i="1"/>
  <c r="O26" i="1"/>
  <c r="N26" i="1"/>
  <c r="L26" i="1"/>
  <c r="M26" i="1" s="1"/>
  <c r="P25" i="1"/>
  <c r="O25" i="1"/>
  <c r="N25" i="1"/>
  <c r="L25" i="1"/>
  <c r="Q25" i="1" s="1"/>
  <c r="P24" i="1"/>
  <c r="O24" i="1"/>
  <c r="N24" i="1"/>
  <c r="L24" i="1"/>
  <c r="M24" i="1" s="1"/>
  <c r="P23" i="1"/>
  <c r="O23" i="1"/>
  <c r="N23" i="1"/>
  <c r="L23" i="1"/>
  <c r="Q23" i="1" s="1"/>
  <c r="P22" i="1"/>
  <c r="O22" i="1"/>
  <c r="N22" i="1"/>
  <c r="L22" i="1"/>
  <c r="M22" i="1" s="1"/>
  <c r="P21" i="1"/>
  <c r="O21" i="1"/>
  <c r="N21" i="1"/>
  <c r="L21" i="1"/>
  <c r="Q21" i="1" s="1"/>
  <c r="P20" i="1"/>
  <c r="O20" i="1"/>
  <c r="N20" i="1"/>
  <c r="L20" i="1"/>
  <c r="M20" i="1" s="1"/>
  <c r="P19" i="1"/>
  <c r="O19" i="1"/>
  <c r="N19" i="1"/>
  <c r="L19" i="1"/>
  <c r="Q19" i="1" s="1"/>
  <c r="P18" i="1"/>
  <c r="O18" i="1"/>
  <c r="N18" i="1"/>
  <c r="L18" i="1"/>
  <c r="M18" i="1" s="1"/>
  <c r="F14" i="8"/>
  <c r="B13" i="8"/>
  <c r="C13" i="8" s="1"/>
  <c r="D14" i="8" s="1"/>
  <c r="B12" i="8"/>
  <c r="C11" i="8"/>
  <c r="D11" i="8" s="1"/>
  <c r="B11" i="8"/>
  <c r="B10" i="8"/>
  <c r="C10" i="8" s="1"/>
  <c r="B9" i="8"/>
  <c r="B8" i="8"/>
  <c r="C8" i="8" s="1"/>
  <c r="B7" i="8"/>
  <c r="B6" i="8"/>
  <c r="C6" i="8" s="1"/>
  <c r="B5" i="8"/>
  <c r="C5" i="8" s="1"/>
  <c r="B4" i="8"/>
  <c r="C4" i="8" s="1"/>
  <c r="B3" i="8"/>
  <c r="C3" i="8" s="1"/>
  <c r="B2" i="8"/>
  <c r="D15" i="8"/>
  <c r="E13" i="8"/>
  <c r="E12" i="8"/>
  <c r="C12" i="8"/>
  <c r="E11" i="8"/>
  <c r="E10" i="8"/>
  <c r="E9" i="8"/>
  <c r="C9" i="8"/>
  <c r="E8" i="8"/>
  <c r="E7" i="8"/>
  <c r="C7" i="8"/>
  <c r="E6" i="8"/>
  <c r="E5" i="8"/>
  <c r="E4" i="8"/>
  <c r="E3" i="8"/>
  <c r="E2" i="8"/>
  <c r="C2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Q50" i="1" l="1"/>
  <c r="Q42" i="1"/>
  <c r="Q36" i="1"/>
  <c r="Q28" i="1"/>
  <c r="Q48" i="1"/>
  <c r="Q46" i="1"/>
  <c r="Q38" i="1"/>
  <c r="Q40" i="1"/>
  <c r="Q26" i="1"/>
  <c r="Q32" i="1"/>
  <c r="Q30" i="1"/>
  <c r="Q34" i="1"/>
  <c r="Q18" i="1"/>
  <c r="Q24" i="1"/>
  <c r="Q22" i="1"/>
  <c r="Q20" i="1"/>
  <c r="M19" i="1"/>
  <c r="M21" i="1"/>
  <c r="M23" i="1"/>
  <c r="M25" i="1"/>
  <c r="M27" i="1"/>
  <c r="M29" i="1"/>
  <c r="M31" i="1"/>
  <c r="M33" i="1"/>
  <c r="M35" i="1"/>
  <c r="M37" i="1"/>
  <c r="M39" i="1"/>
  <c r="M41" i="1"/>
  <c r="M43" i="1"/>
  <c r="M45" i="1"/>
  <c r="M47" i="1"/>
  <c r="M49" i="1"/>
  <c r="D13" i="8"/>
  <c r="F15" i="8"/>
  <c r="D10" i="8"/>
  <c r="D6" i="8"/>
  <c r="D3" i="8"/>
  <c r="D7" i="8"/>
  <c r="D4" i="8"/>
  <c r="D8" i="8"/>
  <c r="D12" i="8"/>
  <c r="D5" i="8"/>
  <c r="D9" i="8"/>
  <c r="B121" i="8" l="1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 l="1"/>
  <c r="B54" i="8"/>
  <c r="B53" i="8"/>
  <c r="B52" i="8"/>
  <c r="C52" i="8" s="1"/>
  <c r="B51" i="8"/>
  <c r="B50" i="8"/>
  <c r="C50" i="8" s="1"/>
  <c r="B49" i="8"/>
  <c r="C49" i="8" s="1"/>
  <c r="B48" i="8"/>
  <c r="C48" i="8" s="1"/>
  <c r="B47" i="8"/>
  <c r="C47" i="8" s="1"/>
  <c r="B46" i="8"/>
  <c r="C46" i="8" s="1"/>
  <c r="B45" i="8"/>
  <c r="C45" i="8" s="1"/>
  <c r="B44" i="8"/>
  <c r="C44" i="8" s="1"/>
  <c r="B43" i="8"/>
  <c r="B42" i="8"/>
  <c r="B41" i="8"/>
  <c r="B40" i="8"/>
  <c r="B39" i="8"/>
  <c r="B38" i="8"/>
  <c r="C38" i="8" s="1"/>
  <c r="B37" i="8"/>
  <c r="C37" i="8" s="1"/>
  <c r="B36" i="8"/>
  <c r="C36" i="8" s="1"/>
  <c r="G14" i="8"/>
  <c r="B35" i="8"/>
  <c r="C35" i="8" s="1"/>
  <c r="B34" i="8"/>
  <c r="C34" i="8" s="1"/>
  <c r="B33" i="8"/>
  <c r="C33" i="8" s="1"/>
  <c r="B32" i="8"/>
  <c r="C32" i="8" s="1"/>
  <c r="B31" i="8"/>
  <c r="C31" i="8" s="1"/>
  <c r="B30" i="8"/>
  <c r="C30" i="8" s="1"/>
  <c r="B29" i="8"/>
  <c r="B28" i="8"/>
  <c r="B27" i="8"/>
  <c r="B26" i="8"/>
  <c r="B25" i="8"/>
  <c r="C25" i="8" s="1"/>
  <c r="B24" i="8"/>
  <c r="C24" i="8" s="1"/>
  <c r="B23" i="8"/>
  <c r="C23" i="8"/>
  <c r="B22" i="8"/>
  <c r="C22" i="8" s="1"/>
  <c r="B21" i="8"/>
  <c r="C21" i="8" s="1"/>
  <c r="B20" i="8"/>
  <c r="C20" i="8" s="1"/>
  <c r="B19" i="8"/>
  <c r="C19" i="8" s="1"/>
  <c r="B18" i="8"/>
  <c r="C18" i="8" s="1"/>
  <c r="B17" i="8"/>
  <c r="B16" i="8"/>
  <c r="C16" i="8" s="1"/>
  <c r="B15" i="8"/>
  <c r="C15" i="8" s="1"/>
  <c r="B14" i="8"/>
  <c r="C14" i="8" s="1"/>
  <c r="E12" i="10"/>
  <c r="C12" i="10"/>
  <c r="D12" i="10" s="1"/>
  <c r="E11" i="10"/>
  <c r="C11" i="10"/>
  <c r="D11" i="10" s="1"/>
  <c r="E10" i="10"/>
  <c r="C10" i="10"/>
  <c r="D10" i="10" s="1"/>
  <c r="E9" i="10"/>
  <c r="C9" i="10"/>
  <c r="D9" i="10" s="1"/>
  <c r="E8" i="10"/>
  <c r="C8" i="10"/>
  <c r="D8" i="10" s="1"/>
  <c r="E7" i="10"/>
  <c r="C7" i="10"/>
  <c r="D7" i="10" s="1"/>
  <c r="E6" i="10"/>
  <c r="C6" i="10"/>
  <c r="D6" i="10" s="1"/>
  <c r="E5" i="10"/>
  <c r="C5" i="10"/>
  <c r="E166" i="8"/>
  <c r="C166" i="8"/>
  <c r="E165" i="8"/>
  <c r="C165" i="8"/>
  <c r="E164" i="8"/>
  <c r="C164" i="8"/>
  <c r="E163" i="8"/>
  <c r="C163" i="8"/>
  <c r="E162" i="8"/>
  <c r="C162" i="8"/>
  <c r="E161" i="8"/>
  <c r="C161" i="8"/>
  <c r="E160" i="8"/>
  <c r="C160" i="8"/>
  <c r="E159" i="8"/>
  <c r="C159" i="8"/>
  <c r="E158" i="8"/>
  <c r="C158" i="8"/>
  <c r="E157" i="8"/>
  <c r="C157" i="8"/>
  <c r="E156" i="8"/>
  <c r="C156" i="8"/>
  <c r="E155" i="8"/>
  <c r="C155" i="8"/>
  <c r="E154" i="8"/>
  <c r="C154" i="8"/>
  <c r="E153" i="8"/>
  <c r="C153" i="8"/>
  <c r="E152" i="8"/>
  <c r="C152" i="8"/>
  <c r="E151" i="8"/>
  <c r="C151" i="8"/>
  <c r="E150" i="8"/>
  <c r="C150" i="8"/>
  <c r="E149" i="8"/>
  <c r="C149" i="8"/>
  <c r="E148" i="8"/>
  <c r="C148" i="8"/>
  <c r="E147" i="8"/>
  <c r="C147" i="8"/>
  <c r="E146" i="8"/>
  <c r="C146" i="8"/>
  <c r="E145" i="8"/>
  <c r="C145" i="8"/>
  <c r="E144" i="8"/>
  <c r="C144" i="8"/>
  <c r="E143" i="8"/>
  <c r="C143" i="8"/>
  <c r="E142" i="8"/>
  <c r="C142" i="8"/>
  <c r="E141" i="8"/>
  <c r="C141" i="8"/>
  <c r="E140" i="8"/>
  <c r="C140" i="8"/>
  <c r="E139" i="8"/>
  <c r="C139" i="8"/>
  <c r="E138" i="8"/>
  <c r="C138" i="8"/>
  <c r="E137" i="8"/>
  <c r="C137" i="8"/>
  <c r="E136" i="8"/>
  <c r="C136" i="8"/>
  <c r="E135" i="8"/>
  <c r="C135" i="8"/>
  <c r="E134" i="8"/>
  <c r="C134" i="8"/>
  <c r="E133" i="8"/>
  <c r="C133" i="8"/>
  <c r="E132" i="8"/>
  <c r="C132" i="8"/>
  <c r="E131" i="8"/>
  <c r="C131" i="8"/>
  <c r="E130" i="8"/>
  <c r="C130" i="8"/>
  <c r="E129" i="8"/>
  <c r="C129" i="8"/>
  <c r="E128" i="8"/>
  <c r="C128" i="8"/>
  <c r="E127" i="8"/>
  <c r="C127" i="8"/>
  <c r="E126" i="8"/>
  <c r="C126" i="8"/>
  <c r="E125" i="8"/>
  <c r="C125" i="8"/>
  <c r="E124" i="8"/>
  <c r="C124" i="8"/>
  <c r="E123" i="8"/>
  <c r="C123" i="8"/>
  <c r="E122" i="8"/>
  <c r="C122" i="8"/>
  <c r="E121" i="8"/>
  <c r="C121" i="8"/>
  <c r="E120" i="8"/>
  <c r="C120" i="8"/>
  <c r="E119" i="8"/>
  <c r="C119" i="8"/>
  <c r="E118" i="8"/>
  <c r="C118" i="8"/>
  <c r="E117" i="8"/>
  <c r="C117" i="8"/>
  <c r="E116" i="8"/>
  <c r="C116" i="8"/>
  <c r="E115" i="8"/>
  <c r="C115" i="8"/>
  <c r="E114" i="8"/>
  <c r="C114" i="8"/>
  <c r="E113" i="8"/>
  <c r="C113" i="8"/>
  <c r="E112" i="8"/>
  <c r="C112" i="8"/>
  <c r="E111" i="8"/>
  <c r="C111" i="8"/>
  <c r="E110" i="8"/>
  <c r="C110" i="8"/>
  <c r="E109" i="8"/>
  <c r="C109" i="8"/>
  <c r="E108" i="8"/>
  <c r="C108" i="8"/>
  <c r="E107" i="8"/>
  <c r="C107" i="8"/>
  <c r="E106" i="8"/>
  <c r="C106" i="8"/>
  <c r="E105" i="8"/>
  <c r="C105" i="8"/>
  <c r="E104" i="8"/>
  <c r="C104" i="8"/>
  <c r="E103" i="8"/>
  <c r="C103" i="8"/>
  <c r="E102" i="8"/>
  <c r="C102" i="8"/>
  <c r="E101" i="8"/>
  <c r="C101" i="8"/>
  <c r="E100" i="8"/>
  <c r="C100" i="8"/>
  <c r="E99" i="8"/>
  <c r="C99" i="8"/>
  <c r="E98" i="8"/>
  <c r="C98" i="8"/>
  <c r="E97" i="8"/>
  <c r="C97" i="8"/>
  <c r="E96" i="8"/>
  <c r="C96" i="8"/>
  <c r="E95" i="8"/>
  <c r="C95" i="8"/>
  <c r="E94" i="8"/>
  <c r="C94" i="8"/>
  <c r="E93" i="8"/>
  <c r="C93" i="8"/>
  <c r="E92" i="8"/>
  <c r="C92" i="8"/>
  <c r="E91" i="8"/>
  <c r="C91" i="8"/>
  <c r="E90" i="8"/>
  <c r="C90" i="8"/>
  <c r="E89" i="8"/>
  <c r="C89" i="8"/>
  <c r="E88" i="8"/>
  <c r="C88" i="8"/>
  <c r="E87" i="8"/>
  <c r="C87" i="8"/>
  <c r="E86" i="8"/>
  <c r="C86" i="8"/>
  <c r="E85" i="8"/>
  <c r="C85" i="8"/>
  <c r="E84" i="8"/>
  <c r="C84" i="8"/>
  <c r="E83" i="8"/>
  <c r="C83" i="8"/>
  <c r="E82" i="8"/>
  <c r="C82" i="8"/>
  <c r="E81" i="8"/>
  <c r="C81" i="8"/>
  <c r="E80" i="8"/>
  <c r="C80" i="8"/>
  <c r="E79" i="8"/>
  <c r="C79" i="8"/>
  <c r="E78" i="8"/>
  <c r="C78" i="8"/>
  <c r="E77" i="8"/>
  <c r="C77" i="8"/>
  <c r="E76" i="8"/>
  <c r="C76" i="8"/>
  <c r="E75" i="8"/>
  <c r="C75" i="8"/>
  <c r="E74" i="8"/>
  <c r="C74" i="8"/>
  <c r="E73" i="8"/>
  <c r="C73" i="8"/>
  <c r="E72" i="8"/>
  <c r="C72" i="8"/>
  <c r="E71" i="8"/>
  <c r="C71" i="8"/>
  <c r="E70" i="8"/>
  <c r="C70" i="8"/>
  <c r="E69" i="8"/>
  <c r="C69" i="8"/>
  <c r="E68" i="8"/>
  <c r="C68" i="8"/>
  <c r="E67" i="8"/>
  <c r="C67" i="8"/>
  <c r="E66" i="8"/>
  <c r="C66" i="8"/>
  <c r="E65" i="8"/>
  <c r="C65" i="8"/>
  <c r="E64" i="8"/>
  <c r="C64" i="8"/>
  <c r="E63" i="8"/>
  <c r="C63" i="8"/>
  <c r="E62" i="8"/>
  <c r="C62" i="8"/>
  <c r="E61" i="8"/>
  <c r="C61" i="8"/>
  <c r="E60" i="8"/>
  <c r="C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E51" i="8"/>
  <c r="C51" i="8"/>
  <c r="E50" i="8"/>
  <c r="E49" i="8"/>
  <c r="E48" i="8"/>
  <c r="E47" i="8"/>
  <c r="E46" i="8"/>
  <c r="E45" i="8"/>
  <c r="E44" i="8"/>
  <c r="E43" i="8"/>
  <c r="C43" i="8"/>
  <c r="E42" i="8"/>
  <c r="C42" i="8"/>
  <c r="E41" i="8"/>
  <c r="C41" i="8"/>
  <c r="E40" i="8"/>
  <c r="C40" i="8"/>
  <c r="E39" i="8"/>
  <c r="C39" i="8"/>
  <c r="E38" i="8"/>
  <c r="E37" i="8"/>
  <c r="E36" i="8"/>
  <c r="E35" i="8"/>
  <c r="E34" i="8"/>
  <c r="E33" i="8"/>
  <c r="E32" i="8"/>
  <c r="E31" i="8"/>
  <c r="E30" i="8"/>
  <c r="E29" i="8"/>
  <c r="C29" i="8"/>
  <c r="E28" i="8"/>
  <c r="C28" i="8"/>
  <c r="E27" i="8"/>
  <c r="C27" i="8"/>
  <c r="E26" i="8"/>
  <c r="C26" i="8"/>
  <c r="E25" i="8"/>
  <c r="E24" i="8"/>
  <c r="E23" i="8"/>
  <c r="E22" i="8"/>
  <c r="E21" i="8"/>
  <c r="E20" i="8"/>
  <c r="E19" i="8"/>
  <c r="E18" i="8"/>
  <c r="E17" i="8"/>
  <c r="C17" i="8"/>
  <c r="E16" i="8"/>
  <c r="E15" i="8"/>
  <c r="E14" i="8"/>
  <c r="I17" i="4"/>
  <c r="C17" i="4"/>
  <c r="A17" i="4"/>
  <c r="I16" i="4"/>
  <c r="C16" i="4"/>
  <c r="A16" i="4"/>
  <c r="I15" i="4"/>
  <c r="G15" i="4"/>
  <c r="C15" i="4"/>
  <c r="A15" i="4"/>
  <c r="I14" i="4"/>
  <c r="C14" i="4"/>
  <c r="A14" i="4"/>
  <c r="I13" i="4"/>
  <c r="G13" i="4"/>
  <c r="C13" i="4"/>
  <c r="A13" i="4"/>
  <c r="I12" i="4"/>
  <c r="C12" i="4"/>
  <c r="A12" i="4"/>
  <c r="I11" i="4"/>
  <c r="C11" i="4"/>
  <c r="A11" i="4"/>
  <c r="I10" i="4"/>
  <c r="C10" i="4"/>
  <c r="A10" i="4"/>
  <c r="I9" i="4"/>
  <c r="C9" i="4"/>
  <c r="A9" i="4"/>
  <c r="I8" i="4"/>
  <c r="C8" i="4"/>
  <c r="A8" i="4"/>
  <c r="I7" i="4"/>
  <c r="C7" i="4"/>
  <c r="A7" i="4"/>
  <c r="I6" i="4"/>
  <c r="C6" i="4"/>
  <c r="A6" i="4"/>
  <c r="I5" i="4"/>
  <c r="C5" i="4"/>
  <c r="A5" i="4"/>
  <c r="I4" i="4"/>
  <c r="C4" i="4"/>
  <c r="A4" i="4"/>
  <c r="I3" i="4"/>
  <c r="C3" i="4"/>
  <c r="A3" i="4"/>
  <c r="I2" i="4"/>
  <c r="G2" i="4"/>
  <c r="F2" i="4"/>
  <c r="C2" i="4"/>
  <c r="A2" i="4"/>
  <c r="B29" i="3"/>
  <c r="E30" i="3" s="1"/>
  <c r="A29" i="3"/>
  <c r="B28" i="3"/>
  <c r="A28" i="3"/>
  <c r="B27" i="3"/>
  <c r="A27" i="3"/>
  <c r="C26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E15" i="3" s="1"/>
  <c r="A15" i="3"/>
  <c r="B14" i="3"/>
  <c r="E14" i="3" s="1"/>
  <c r="A14" i="3"/>
  <c r="B29" i="2"/>
  <c r="C29" i="2" s="1"/>
  <c r="A29" i="2"/>
  <c r="B28" i="2"/>
  <c r="C28" i="2" s="1"/>
  <c r="A28" i="2"/>
  <c r="B27" i="2"/>
  <c r="C27" i="2" s="1"/>
  <c r="A27" i="2"/>
  <c r="B26" i="2"/>
  <c r="C26" i="2" s="1"/>
  <c r="A26" i="2"/>
  <c r="B25" i="2"/>
  <c r="C25" i="2" s="1"/>
  <c r="A25" i="2"/>
  <c r="B24" i="2"/>
  <c r="C24" i="2" s="1"/>
  <c r="A24" i="2"/>
  <c r="B23" i="2"/>
  <c r="C23" i="2" s="1"/>
  <c r="A23" i="2"/>
  <c r="B22" i="2"/>
  <c r="C22" i="2" s="1"/>
  <c r="A22" i="2"/>
  <c r="B21" i="2"/>
  <c r="C21" i="2" s="1"/>
  <c r="A21" i="2"/>
  <c r="B20" i="2"/>
  <c r="C20" i="2" s="1"/>
  <c r="A20" i="2"/>
  <c r="B19" i="2"/>
  <c r="C19" i="2" s="1"/>
  <c r="A19" i="2"/>
  <c r="B18" i="2"/>
  <c r="C18" i="2" s="1"/>
  <c r="A18" i="2"/>
  <c r="B17" i="2"/>
  <c r="C17" i="2" s="1"/>
  <c r="A17" i="2"/>
  <c r="B16" i="2"/>
  <c r="C16" i="2" s="1"/>
  <c r="A16" i="2"/>
  <c r="B15" i="2"/>
  <c r="C15" i="2" s="1"/>
  <c r="A15" i="2"/>
  <c r="B14" i="2"/>
  <c r="C14" i="2" s="1"/>
  <c r="D14" i="2" s="1"/>
  <c r="E2" i="4" s="1"/>
  <c r="A14" i="2"/>
  <c r="P17" i="1"/>
  <c r="G17" i="4" s="1"/>
  <c r="O17" i="1"/>
  <c r="H17" i="4" s="1"/>
  <c r="N17" i="1"/>
  <c r="F17" i="4" s="1"/>
  <c r="L17" i="1"/>
  <c r="M17" i="1" s="1"/>
  <c r="B17" i="4" s="1"/>
  <c r="P16" i="1"/>
  <c r="G16" i="4" s="1"/>
  <c r="O16" i="1"/>
  <c r="H16" i="4" s="1"/>
  <c r="N16" i="1"/>
  <c r="F16" i="4" s="1"/>
  <c r="L16" i="1"/>
  <c r="Q16" i="1" s="1"/>
  <c r="D28" i="3" s="1"/>
  <c r="P15" i="1"/>
  <c r="O15" i="1"/>
  <c r="H15" i="4" s="1"/>
  <c r="N15" i="1"/>
  <c r="F15" i="4" s="1"/>
  <c r="L15" i="1"/>
  <c r="M15" i="1" s="1"/>
  <c r="B15" i="4" s="1"/>
  <c r="Q14" i="1"/>
  <c r="D26" i="3" s="1"/>
  <c r="P14" i="1"/>
  <c r="G14" i="4" s="1"/>
  <c r="O14" i="1"/>
  <c r="H14" i="4" s="1"/>
  <c r="N14" i="1"/>
  <c r="F14" i="4" s="1"/>
  <c r="M14" i="1"/>
  <c r="B14" i="4" s="1"/>
  <c r="L14" i="1"/>
  <c r="P13" i="1"/>
  <c r="O13" i="1"/>
  <c r="H13" i="4" s="1"/>
  <c r="N13" i="1"/>
  <c r="F13" i="4" s="1"/>
  <c r="L13" i="1"/>
  <c r="P12" i="1"/>
  <c r="G12" i="4" s="1"/>
  <c r="O12" i="1"/>
  <c r="H12" i="4" s="1"/>
  <c r="N12" i="1"/>
  <c r="F12" i="4" s="1"/>
  <c r="L12" i="1"/>
  <c r="C24" i="3" s="1"/>
  <c r="P11" i="1"/>
  <c r="G11" i="4" s="1"/>
  <c r="O11" i="1"/>
  <c r="H11" i="4" s="1"/>
  <c r="N11" i="1"/>
  <c r="F11" i="4" s="1"/>
  <c r="L11" i="1"/>
  <c r="P10" i="1"/>
  <c r="G10" i="4" s="1"/>
  <c r="O10" i="1"/>
  <c r="H10" i="4" s="1"/>
  <c r="N10" i="1"/>
  <c r="F10" i="4" s="1"/>
  <c r="L10" i="1"/>
  <c r="P9" i="1"/>
  <c r="G9" i="4" s="1"/>
  <c r="O9" i="1"/>
  <c r="H9" i="4" s="1"/>
  <c r="N9" i="1"/>
  <c r="F9" i="4" s="1"/>
  <c r="L9" i="1"/>
  <c r="Q9" i="1" s="1"/>
  <c r="D21" i="3" s="1"/>
  <c r="P8" i="1"/>
  <c r="G8" i="4" s="1"/>
  <c r="O8" i="1"/>
  <c r="H8" i="4" s="1"/>
  <c r="N8" i="1"/>
  <c r="F8" i="4" s="1"/>
  <c r="L8" i="1"/>
  <c r="M8" i="1" s="1"/>
  <c r="B8" i="4" s="1"/>
  <c r="P7" i="1"/>
  <c r="G7" i="4" s="1"/>
  <c r="O7" i="1"/>
  <c r="H7" i="4" s="1"/>
  <c r="N7" i="1"/>
  <c r="F7" i="4" s="1"/>
  <c r="L7" i="1"/>
  <c r="P6" i="1"/>
  <c r="G6" i="4" s="1"/>
  <c r="O6" i="1"/>
  <c r="H6" i="4" s="1"/>
  <c r="N6" i="1"/>
  <c r="F6" i="4" s="1"/>
  <c r="L6" i="1"/>
  <c r="Q6" i="1" s="1"/>
  <c r="D18" i="3" s="1"/>
  <c r="P5" i="1"/>
  <c r="G5" i="4" s="1"/>
  <c r="O5" i="1"/>
  <c r="H5" i="4" s="1"/>
  <c r="N5" i="1"/>
  <c r="F5" i="4" s="1"/>
  <c r="L5" i="1"/>
  <c r="Q5" i="1" s="1"/>
  <c r="D17" i="3" s="1"/>
  <c r="P4" i="1"/>
  <c r="G4" i="4" s="1"/>
  <c r="H4" i="4"/>
  <c r="N4" i="1"/>
  <c r="F4" i="4" s="1"/>
  <c r="L4" i="1"/>
  <c r="Q4" i="1" s="1"/>
  <c r="D16" i="3" s="1"/>
  <c r="P3" i="1"/>
  <c r="G3" i="4" s="1"/>
  <c r="O3" i="1"/>
  <c r="H3" i="4" s="1"/>
  <c r="N3" i="1"/>
  <c r="F3" i="4" s="1"/>
  <c r="L3" i="1"/>
  <c r="P2" i="1"/>
  <c r="O2" i="1"/>
  <c r="H2" i="4" s="1"/>
  <c r="N2" i="1"/>
  <c r="L2" i="1"/>
  <c r="Q2" i="1" s="1"/>
  <c r="D14" i="3" s="1"/>
  <c r="G14" i="3" l="1"/>
  <c r="D2" i="4" s="1"/>
  <c r="H14" i="3"/>
  <c r="F14" i="3"/>
  <c r="E16" i="3"/>
  <c r="E24" i="3"/>
  <c r="E18" i="3"/>
  <c r="E19" i="3"/>
  <c r="H33" i="3"/>
  <c r="I41" i="3"/>
  <c r="H15" i="3"/>
  <c r="E14" i="2"/>
  <c r="D25" i="2"/>
  <c r="D21" i="2"/>
  <c r="D26" i="2"/>
  <c r="D17" i="2"/>
  <c r="D18" i="2"/>
  <c r="D22" i="2"/>
  <c r="D29" i="2"/>
  <c r="D30" i="2"/>
  <c r="D27" i="2"/>
  <c r="D23" i="2"/>
  <c r="D16" i="2"/>
  <c r="D28" i="2"/>
  <c r="D19" i="2"/>
  <c r="D20" i="2"/>
  <c r="D24" i="2"/>
  <c r="E28" i="3"/>
  <c r="E23" i="3"/>
  <c r="C17" i="3"/>
  <c r="M9" i="1"/>
  <c r="B9" i="4" s="1"/>
  <c r="M4" i="1"/>
  <c r="B4" i="4" s="1"/>
  <c r="M5" i="1"/>
  <c r="B5" i="4" s="1"/>
  <c r="M16" i="1"/>
  <c r="B16" i="4" s="1"/>
  <c r="E29" i="3"/>
  <c r="C18" i="3"/>
  <c r="E25" i="3"/>
  <c r="M6" i="1"/>
  <c r="B6" i="4" s="1"/>
  <c r="Q8" i="1"/>
  <c r="D20" i="3" s="1"/>
  <c r="E20" i="3"/>
  <c r="E17" i="3"/>
  <c r="E22" i="3"/>
  <c r="D15" i="2"/>
  <c r="F15" i="2" s="1"/>
  <c r="E3" i="4" s="1"/>
  <c r="D16" i="8"/>
  <c r="D160" i="8"/>
  <c r="D51" i="8"/>
  <c r="D60" i="8"/>
  <c r="D66" i="8"/>
  <c r="D72" i="8"/>
  <c r="D87" i="8"/>
  <c r="D57" i="8"/>
  <c r="D69" i="8"/>
  <c r="D81" i="8"/>
  <c r="D90" i="8"/>
  <c r="D63" i="8"/>
  <c r="D75" i="8"/>
  <c r="D45" i="8"/>
  <c r="D48" i="8"/>
  <c r="D148" i="8"/>
  <c r="D54" i="8"/>
  <c r="D78" i="8"/>
  <c r="D93" i="8"/>
  <c r="D111" i="8"/>
  <c r="D135" i="8"/>
  <c r="D84" i="8"/>
  <c r="D96" i="8"/>
  <c r="D137" i="8"/>
  <c r="D127" i="8"/>
  <c r="D108" i="8"/>
  <c r="D99" i="8"/>
  <c r="D159" i="8"/>
  <c r="D133" i="8"/>
  <c r="D117" i="8"/>
  <c r="D124" i="8"/>
  <c r="D132" i="8"/>
  <c r="D114" i="8"/>
  <c r="D103" i="8"/>
  <c r="D141" i="8"/>
  <c r="D138" i="8"/>
  <c r="D107" i="8"/>
  <c r="D162" i="8"/>
  <c r="D165" i="8"/>
  <c r="D118" i="8"/>
  <c r="D143" i="8"/>
  <c r="D146" i="8"/>
  <c r="D157" i="8"/>
  <c r="D100" i="8"/>
  <c r="D119" i="8"/>
  <c r="D122" i="8"/>
  <c r="D152" i="8"/>
  <c r="D155" i="8"/>
  <c r="D20" i="8"/>
  <c r="D32" i="8"/>
  <c r="D44" i="8"/>
  <c r="D56" i="8"/>
  <c r="D68" i="8"/>
  <c r="D80" i="8"/>
  <c r="D89" i="8"/>
  <c r="D98" i="8"/>
  <c r="D109" i="8"/>
  <c r="D23" i="8"/>
  <c r="D35" i="8"/>
  <c r="D47" i="8"/>
  <c r="D59" i="8"/>
  <c r="D71" i="8"/>
  <c r="D83" i="8"/>
  <c r="D92" i="8"/>
  <c r="D128" i="8"/>
  <c r="D17" i="8"/>
  <c r="D29" i="8"/>
  <c r="D41" i="8"/>
  <c r="D53" i="8"/>
  <c r="D65" i="8"/>
  <c r="D77" i="8"/>
  <c r="D86" i="8"/>
  <c r="D95" i="8"/>
  <c r="D112" i="8"/>
  <c r="D131" i="8"/>
  <c r="D26" i="8"/>
  <c r="D38" i="8"/>
  <c r="D50" i="8"/>
  <c r="D62" i="8"/>
  <c r="D74" i="8"/>
  <c r="D115" i="8"/>
  <c r="D142" i="8"/>
  <c r="D101" i="8"/>
  <c r="M2" i="1"/>
  <c r="B2" i="4" s="1"/>
  <c r="M12" i="1"/>
  <c r="B12" i="4" s="1"/>
  <c r="Q17" i="1"/>
  <c r="D29" i="3" s="1"/>
  <c r="F31" i="3" s="1"/>
  <c r="C29" i="3"/>
  <c r="M10" i="1"/>
  <c r="B10" i="4" s="1"/>
  <c r="C22" i="3"/>
  <c r="D125" i="8"/>
  <c r="Q12" i="1"/>
  <c r="D24" i="3" s="1"/>
  <c r="D104" i="8"/>
  <c r="D136" i="8"/>
  <c r="D149" i="8"/>
  <c r="D163" i="8"/>
  <c r="D166" i="8"/>
  <c r="C15" i="3"/>
  <c r="Q3" i="1"/>
  <c r="D15" i="3" s="1"/>
  <c r="G17" i="3" s="1"/>
  <c r="D5" i="4" s="1"/>
  <c r="Q13" i="1"/>
  <c r="D25" i="3" s="1"/>
  <c r="C25" i="3"/>
  <c r="M13" i="1"/>
  <c r="B13" i="4" s="1"/>
  <c r="D123" i="8"/>
  <c r="M3" i="1"/>
  <c r="B3" i="4" s="1"/>
  <c r="D120" i="8"/>
  <c r="Q10" i="1"/>
  <c r="D22" i="3" s="1"/>
  <c r="C16" i="3"/>
  <c r="E27" i="3"/>
  <c r="E26" i="3"/>
  <c r="D102" i="8"/>
  <c r="D110" i="8"/>
  <c r="D144" i="8"/>
  <c r="D158" i="8"/>
  <c r="F160" i="8" s="1"/>
  <c r="D18" i="8"/>
  <c r="D30" i="8"/>
  <c r="F32" i="8" s="1"/>
  <c r="D42" i="8"/>
  <c r="D22" i="8"/>
  <c r="D28" i="8"/>
  <c r="D34" i="8"/>
  <c r="D40" i="8"/>
  <c r="D46" i="8"/>
  <c r="D52" i="8"/>
  <c r="D55" i="8"/>
  <c r="D61" i="8"/>
  <c r="D64" i="8"/>
  <c r="D70" i="8"/>
  <c r="D73" i="8"/>
  <c r="D76" i="8"/>
  <c r="D79" i="8"/>
  <c r="D85" i="8"/>
  <c r="D88" i="8"/>
  <c r="D91" i="8"/>
  <c r="D94" i="8"/>
  <c r="D97" i="8"/>
  <c r="D134" i="8"/>
  <c r="D147" i="8"/>
  <c r="C27" i="3"/>
  <c r="Q15" i="1"/>
  <c r="D27" i="3" s="1"/>
  <c r="D21" i="8"/>
  <c r="D33" i="8"/>
  <c r="D19" i="8"/>
  <c r="D25" i="8"/>
  <c r="D31" i="8"/>
  <c r="D37" i="8"/>
  <c r="D43" i="8"/>
  <c r="D49" i="8"/>
  <c r="D58" i="8"/>
  <c r="D67" i="8"/>
  <c r="D82" i="8"/>
  <c r="E21" i="3"/>
  <c r="D126" i="8"/>
  <c r="D139" i="8"/>
  <c r="D150" i="8"/>
  <c r="D151" i="8"/>
  <c r="D161" i="8"/>
  <c r="D164" i="8"/>
  <c r="C14" i="3"/>
  <c r="D27" i="8"/>
  <c r="D39" i="8"/>
  <c r="D105" i="8"/>
  <c r="D113" i="8"/>
  <c r="D121" i="8"/>
  <c r="D153" i="8"/>
  <c r="D24" i="8"/>
  <c r="D36" i="8"/>
  <c r="D129" i="8"/>
  <c r="D145" i="8"/>
  <c r="D156" i="8"/>
  <c r="C23" i="3"/>
  <c r="Q11" i="1"/>
  <c r="D23" i="3" s="1"/>
  <c r="M11" i="1"/>
  <c r="B11" i="4" s="1"/>
  <c r="C19" i="3"/>
  <c r="Q7" i="1"/>
  <c r="D19" i="3" s="1"/>
  <c r="D106" i="8"/>
  <c r="D130" i="8"/>
  <c r="D154" i="8"/>
  <c r="M7" i="1"/>
  <c r="B7" i="4" s="1"/>
  <c r="C21" i="3"/>
  <c r="C28" i="3"/>
  <c r="C20" i="3"/>
  <c r="D116" i="8"/>
  <c r="D140" i="8"/>
  <c r="D5" i="9"/>
  <c r="D9" i="9"/>
  <c r="D13" i="9"/>
  <c r="D17" i="9"/>
  <c r="D21" i="9"/>
  <c r="D25" i="9"/>
  <c r="D29" i="9"/>
  <c r="D33" i="9"/>
  <c r="D37" i="9"/>
  <c r="D41" i="9"/>
  <c r="D45" i="9"/>
  <c r="D49" i="9"/>
  <c r="B50" i="9"/>
  <c r="J50" i="4" s="1"/>
  <c r="D2" i="9"/>
  <c r="D6" i="9"/>
  <c r="D10" i="9"/>
  <c r="D14" i="9"/>
  <c r="D18" i="9"/>
  <c r="D22" i="9"/>
  <c r="D26" i="9"/>
  <c r="D30" i="9"/>
  <c r="D34" i="9"/>
  <c r="D38" i="9"/>
  <c r="D42" i="9"/>
  <c r="D46" i="9"/>
  <c r="D50" i="9"/>
  <c r="D3" i="9"/>
  <c r="D7" i="9"/>
  <c r="D11" i="9"/>
  <c r="D15" i="9"/>
  <c r="D19" i="9"/>
  <c r="D23" i="9"/>
  <c r="D27" i="9"/>
  <c r="D31" i="9"/>
  <c r="D35" i="9"/>
  <c r="D39" i="9"/>
  <c r="D43" i="9"/>
  <c r="D47" i="9"/>
  <c r="D51" i="9"/>
  <c r="D4" i="9"/>
  <c r="D8" i="9"/>
  <c r="D12" i="9"/>
  <c r="D16" i="9"/>
  <c r="D20" i="9"/>
  <c r="D24" i="9"/>
  <c r="D28" i="9"/>
  <c r="D32" i="9"/>
  <c r="D36" i="9"/>
  <c r="D40" i="9"/>
  <c r="D44" i="9"/>
  <c r="D48" i="9"/>
  <c r="D52" i="9"/>
  <c r="I16" i="3" l="1"/>
  <c r="I18" i="3"/>
  <c r="I15" i="3"/>
  <c r="G18" i="3"/>
  <c r="D6" i="4" s="1"/>
  <c r="I17" i="3"/>
  <c r="G19" i="3"/>
  <c r="D7" i="4" s="1"/>
  <c r="G16" i="3"/>
  <c r="D4" i="4" s="1"/>
  <c r="G15" i="3"/>
  <c r="D3" i="4" s="1"/>
  <c r="G20" i="3"/>
  <c r="D8" i="4" s="1"/>
  <c r="I19" i="3"/>
  <c r="I20" i="3"/>
  <c r="G22" i="3"/>
  <c r="D10" i="4" s="1"/>
  <c r="G21" i="3"/>
  <c r="D9" i="4" s="1"/>
  <c r="I21" i="3"/>
  <c r="F16" i="3"/>
  <c r="F17" i="3"/>
  <c r="F15" i="3"/>
  <c r="H27" i="3"/>
  <c r="F29" i="3"/>
  <c r="G32" i="3"/>
  <c r="D20" i="4" s="1"/>
  <c r="G23" i="3"/>
  <c r="D11" i="4" s="1"/>
  <c r="I22" i="3"/>
  <c r="G39" i="3"/>
  <c r="D27" i="4" s="1"/>
  <c r="F21" i="3"/>
  <c r="I24" i="3"/>
  <c r="F19" i="3"/>
  <c r="I23" i="3"/>
  <c r="F24" i="3"/>
  <c r="F23" i="3"/>
  <c r="G31" i="3"/>
  <c r="D19" i="4" s="1"/>
  <c r="I28" i="3"/>
  <c r="H20" i="3"/>
  <c r="I34" i="3"/>
  <c r="H26" i="3"/>
  <c r="F20" i="3"/>
  <c r="I39" i="3"/>
  <c r="H31" i="3"/>
  <c r="I35" i="3"/>
  <c r="G25" i="3"/>
  <c r="D13" i="4" s="1"/>
  <c r="I36" i="3"/>
  <c r="H28" i="3"/>
  <c r="H24" i="3"/>
  <c r="I32" i="3"/>
  <c r="I27" i="3"/>
  <c r="G26" i="3"/>
  <c r="D14" i="4" s="1"/>
  <c r="F18" i="3"/>
  <c r="G40" i="3"/>
  <c r="D28" i="4" s="1"/>
  <c r="F32" i="3"/>
  <c r="G29" i="3"/>
  <c r="D17" i="4" s="1"/>
  <c r="I25" i="3"/>
  <c r="F25" i="3"/>
  <c r="G33" i="3"/>
  <c r="D21" i="4" s="1"/>
  <c r="I31" i="3"/>
  <c r="H23" i="3"/>
  <c r="H32" i="3"/>
  <c r="I40" i="3"/>
  <c r="H19" i="3"/>
  <c r="G36" i="3"/>
  <c r="D24" i="4" s="1"/>
  <c r="F28" i="3"/>
  <c r="F26" i="3"/>
  <c r="G34" i="3"/>
  <c r="D22" i="4" s="1"/>
  <c r="I29" i="3"/>
  <c r="F30" i="3"/>
  <c r="G38" i="3"/>
  <c r="D26" i="4" s="1"/>
  <c r="G35" i="3"/>
  <c r="D23" i="4" s="1"/>
  <c r="F27" i="3"/>
  <c r="G24" i="3"/>
  <c r="D12" i="4" s="1"/>
  <c r="G30" i="3"/>
  <c r="D18" i="4" s="1"/>
  <c r="F22" i="3"/>
  <c r="I26" i="3"/>
  <c r="H18" i="3"/>
  <c r="G27" i="3"/>
  <c r="D15" i="4" s="1"/>
  <c r="G37" i="3"/>
  <c r="D25" i="4" s="1"/>
  <c r="H29" i="3"/>
  <c r="I37" i="3"/>
  <c r="H21" i="3"/>
  <c r="H16" i="3"/>
  <c r="H30" i="3"/>
  <c r="I38" i="3"/>
  <c r="I33" i="3"/>
  <c r="H25" i="3"/>
  <c r="G28" i="3"/>
  <c r="D16" i="4" s="1"/>
  <c r="I30" i="3"/>
  <c r="H22" i="3"/>
  <c r="H17" i="3"/>
  <c r="F16" i="2"/>
  <c r="E4" i="4" s="1"/>
  <c r="F17" i="2"/>
  <c r="E5" i="4" s="1"/>
  <c r="F19" i="2"/>
  <c r="E7" i="4" s="1"/>
  <c r="F18" i="2"/>
  <c r="E6" i="4" s="1"/>
  <c r="F20" i="2"/>
  <c r="E8" i="4" s="1"/>
  <c r="F36" i="2"/>
  <c r="E24" i="4" s="1"/>
  <c r="E28" i="2"/>
  <c r="F24" i="2"/>
  <c r="E12" i="4" s="1"/>
  <c r="F21" i="2"/>
  <c r="E9" i="4" s="1"/>
  <c r="F22" i="2"/>
  <c r="E10" i="4" s="1"/>
  <c r="E15" i="2"/>
  <c r="F29" i="2"/>
  <c r="E17" i="4" s="1"/>
  <c r="F23" i="2"/>
  <c r="E11" i="4" s="1"/>
  <c r="E25" i="2"/>
  <c r="F37" i="2"/>
  <c r="E25" i="4" s="1"/>
  <c r="E27" i="2"/>
  <c r="F35" i="2"/>
  <c r="E23" i="4" s="1"/>
  <c r="E31" i="2"/>
  <c r="F39" i="2"/>
  <c r="E27" i="4" s="1"/>
  <c r="E23" i="2"/>
  <c r="F31" i="2"/>
  <c r="E19" i="4" s="1"/>
  <c r="F32" i="2"/>
  <c r="E20" i="4" s="1"/>
  <c r="E32" i="2"/>
  <c r="F40" i="2"/>
  <c r="E28" i="4" s="1"/>
  <c r="F25" i="2"/>
  <c r="E13" i="4" s="1"/>
  <c r="E17" i="2"/>
  <c r="F27" i="2"/>
  <c r="E15" i="4" s="1"/>
  <c r="E19" i="2"/>
  <c r="E26" i="2"/>
  <c r="F34" i="2"/>
  <c r="E22" i="4" s="1"/>
  <c r="F33" i="2"/>
  <c r="E21" i="4" s="1"/>
  <c r="E33" i="2"/>
  <c r="F41" i="2"/>
  <c r="E29" i="4" s="1"/>
  <c r="E24" i="2"/>
  <c r="E22" i="2"/>
  <c r="F30" i="2"/>
  <c r="E18" i="4" s="1"/>
  <c r="F28" i="2"/>
  <c r="E16" i="4" s="1"/>
  <c r="E21" i="2"/>
  <c r="E20" i="2"/>
  <c r="E18" i="2"/>
  <c r="F26" i="2"/>
  <c r="E14" i="4" s="1"/>
  <c r="E30" i="2"/>
  <c r="F38" i="2"/>
  <c r="E26" i="4" s="1"/>
  <c r="E29" i="2"/>
  <c r="E16" i="2"/>
  <c r="G19" i="8"/>
  <c r="C3" i="9" s="1"/>
  <c r="K3" i="4" s="1"/>
  <c r="G20" i="8"/>
  <c r="G15" i="8"/>
  <c r="G21" i="8"/>
  <c r="G24" i="8"/>
  <c r="G22" i="8"/>
  <c r="C4" i="9" s="1"/>
  <c r="K4" i="4" s="1"/>
  <c r="G23" i="8"/>
  <c r="G16" i="8"/>
  <c r="C2" i="9" s="1"/>
  <c r="K2" i="4" s="1"/>
  <c r="G17" i="8"/>
  <c r="G18" i="8"/>
  <c r="F29" i="8"/>
  <c r="F16" i="8"/>
  <c r="B2" i="9" s="1"/>
  <c r="J2" i="4" s="1"/>
  <c r="G25" i="8"/>
  <c r="C5" i="9" s="1"/>
  <c r="K5" i="4" s="1"/>
  <c r="F23" i="8"/>
  <c r="G32" i="8"/>
  <c r="G29" i="8"/>
  <c r="G34" i="8"/>
  <c r="C8" i="9" s="1"/>
  <c r="K8" i="4" s="1"/>
  <c r="G26" i="8"/>
  <c r="F17" i="8"/>
  <c r="G28" i="8"/>
  <c r="C6" i="9" s="1"/>
  <c r="K6" i="4" s="1"/>
  <c r="G35" i="8"/>
  <c r="G30" i="8"/>
  <c r="G33" i="8"/>
  <c r="G31" i="8"/>
  <c r="C7" i="9" s="1"/>
  <c r="K7" i="4" s="1"/>
  <c r="G27" i="8"/>
  <c r="F166" i="8"/>
  <c r="B52" i="9" s="1"/>
  <c r="F165" i="8"/>
  <c r="F164" i="8"/>
  <c r="F163" i="8"/>
  <c r="B51" i="9" s="1"/>
  <c r="J51" i="4" s="1"/>
  <c r="F162" i="8"/>
  <c r="F161" i="8"/>
  <c r="F158" i="8"/>
  <c r="F159" i="8"/>
  <c r="F157" i="8"/>
  <c r="B49" i="9" s="1"/>
  <c r="J49" i="4" s="1"/>
  <c r="G166" i="8"/>
  <c r="C52" i="9" s="1"/>
  <c r="F156" i="8"/>
  <c r="G165" i="8"/>
  <c r="F155" i="8"/>
  <c r="G164" i="8"/>
  <c r="G163" i="8"/>
  <c r="C51" i="9" s="1"/>
  <c r="K51" i="4" s="1"/>
  <c r="F154" i="8"/>
  <c r="B48" i="9" s="1"/>
  <c r="J48" i="4" s="1"/>
  <c r="F153" i="8"/>
  <c r="G162" i="8"/>
  <c r="G161" i="8"/>
  <c r="F152" i="8"/>
  <c r="G160" i="8"/>
  <c r="C50" i="9" s="1"/>
  <c r="K50" i="4" s="1"/>
  <c r="F151" i="8"/>
  <c r="B47" i="9" s="1"/>
  <c r="J47" i="4" s="1"/>
  <c r="F150" i="8"/>
  <c r="G159" i="8"/>
  <c r="F149" i="8"/>
  <c r="G158" i="8"/>
  <c r="F148" i="8"/>
  <c r="B46" i="9" s="1"/>
  <c r="J46" i="4" s="1"/>
  <c r="G157" i="8"/>
  <c r="C49" i="9" s="1"/>
  <c r="K49" i="4" s="1"/>
  <c r="F147" i="8"/>
  <c r="G156" i="8"/>
  <c r="F146" i="8"/>
  <c r="G155" i="8"/>
  <c r="F145" i="8"/>
  <c r="B45" i="9" s="1"/>
  <c r="J45" i="4" s="1"/>
  <c r="G154" i="8"/>
  <c r="C48" i="9" s="1"/>
  <c r="K48" i="4" s="1"/>
  <c r="F144" i="8"/>
  <c r="G153" i="8"/>
  <c r="G152" i="8"/>
  <c r="F143" i="8"/>
  <c r="G151" i="8"/>
  <c r="C47" i="9" s="1"/>
  <c r="K47" i="4" s="1"/>
  <c r="F142" i="8"/>
  <c r="B44" i="9" s="1"/>
  <c r="J44" i="4" s="1"/>
  <c r="F141" i="8"/>
  <c r="G150" i="8"/>
  <c r="G149" i="8"/>
  <c r="F140" i="8"/>
  <c r="F139" i="8"/>
  <c r="B43" i="9" s="1"/>
  <c r="J43" i="4" s="1"/>
  <c r="G148" i="8"/>
  <c r="C46" i="9" s="1"/>
  <c r="K46" i="4" s="1"/>
  <c r="G147" i="8"/>
  <c r="F138" i="8"/>
  <c r="G146" i="8"/>
  <c r="F137" i="8"/>
  <c r="F136" i="8"/>
  <c r="B42" i="9" s="1"/>
  <c r="J42" i="4" s="1"/>
  <c r="G145" i="8"/>
  <c r="C45" i="9" s="1"/>
  <c r="K45" i="4" s="1"/>
  <c r="F135" i="8"/>
  <c r="G144" i="8"/>
  <c r="F134" i="8"/>
  <c r="G143" i="8"/>
  <c r="F133" i="8"/>
  <c r="B41" i="9" s="1"/>
  <c r="J41" i="4" s="1"/>
  <c r="G142" i="8"/>
  <c r="C44" i="9" s="1"/>
  <c r="K44" i="4" s="1"/>
  <c r="G141" i="8"/>
  <c r="F132" i="8"/>
  <c r="G140" i="8"/>
  <c r="F131" i="8"/>
  <c r="G139" i="8"/>
  <c r="C43" i="9" s="1"/>
  <c r="K43" i="4" s="1"/>
  <c r="F130" i="8"/>
  <c r="B40" i="9" s="1"/>
  <c r="J40" i="4" s="1"/>
  <c r="F129" i="8"/>
  <c r="G138" i="8"/>
  <c r="G137" i="8"/>
  <c r="F128" i="8"/>
  <c r="F127" i="8"/>
  <c r="B39" i="9" s="1"/>
  <c r="J39" i="4" s="1"/>
  <c r="G136" i="8"/>
  <c r="C42" i="9" s="1"/>
  <c r="K42" i="4" s="1"/>
  <c r="G135" i="8"/>
  <c r="F126" i="8"/>
  <c r="G134" i="8"/>
  <c r="F125" i="8"/>
  <c r="G133" i="8"/>
  <c r="C41" i="9" s="1"/>
  <c r="K41" i="4" s="1"/>
  <c r="F124" i="8"/>
  <c r="B38" i="9" s="1"/>
  <c r="J38" i="4" s="1"/>
  <c r="F123" i="8"/>
  <c r="G132" i="8"/>
  <c r="F122" i="8"/>
  <c r="G131" i="8"/>
  <c r="F121" i="8"/>
  <c r="B37" i="9" s="1"/>
  <c r="J37" i="4" s="1"/>
  <c r="G130" i="8"/>
  <c r="C40" i="9" s="1"/>
  <c r="K40" i="4" s="1"/>
  <c r="G129" i="8"/>
  <c r="F120" i="8"/>
  <c r="F119" i="8"/>
  <c r="G128" i="8"/>
  <c r="G127" i="8"/>
  <c r="C39" i="9" s="1"/>
  <c r="K39" i="4" s="1"/>
  <c r="F118" i="8"/>
  <c r="B36" i="9" s="1"/>
  <c r="J36" i="4" s="1"/>
  <c r="G126" i="8"/>
  <c r="F117" i="8"/>
  <c r="F116" i="8"/>
  <c r="G125" i="8"/>
  <c r="F115" i="8"/>
  <c r="B35" i="9" s="1"/>
  <c r="J35" i="4" s="1"/>
  <c r="G124" i="8"/>
  <c r="C38" i="9" s="1"/>
  <c r="K38" i="4" s="1"/>
  <c r="G123" i="8"/>
  <c r="F114" i="8"/>
  <c r="G122" i="8"/>
  <c r="F113" i="8"/>
  <c r="G121" i="8"/>
  <c r="C37" i="9" s="1"/>
  <c r="K37" i="4" s="1"/>
  <c r="F112" i="8"/>
  <c r="B34" i="9" s="1"/>
  <c r="J34" i="4" s="1"/>
  <c r="F111" i="8"/>
  <c r="G120" i="8"/>
  <c r="F110" i="8"/>
  <c r="G119" i="8"/>
  <c r="F109" i="8"/>
  <c r="B33" i="9" s="1"/>
  <c r="J33" i="4" s="1"/>
  <c r="G118" i="8"/>
  <c r="C36" i="9" s="1"/>
  <c r="K36" i="4" s="1"/>
  <c r="F108" i="8"/>
  <c r="G117" i="8"/>
  <c r="F107" i="8"/>
  <c r="G116" i="8"/>
  <c r="G115" i="8"/>
  <c r="C35" i="9" s="1"/>
  <c r="K35" i="4" s="1"/>
  <c r="F106" i="8"/>
  <c r="B32" i="9" s="1"/>
  <c r="J32" i="4" s="1"/>
  <c r="F105" i="8"/>
  <c r="G114" i="8"/>
  <c r="F104" i="8"/>
  <c r="G113" i="8"/>
  <c r="G112" i="8"/>
  <c r="C34" i="9" s="1"/>
  <c r="K34" i="4" s="1"/>
  <c r="F103" i="8"/>
  <c r="B31" i="9" s="1"/>
  <c r="J31" i="4" s="1"/>
  <c r="F102" i="8"/>
  <c r="G111" i="8"/>
  <c r="F101" i="8"/>
  <c r="G110" i="8"/>
  <c r="G109" i="8"/>
  <c r="C33" i="9" s="1"/>
  <c r="K33" i="4" s="1"/>
  <c r="F100" i="8"/>
  <c r="B30" i="9" s="1"/>
  <c r="J30" i="4" s="1"/>
  <c r="F99" i="8"/>
  <c r="G108" i="8"/>
  <c r="F98" i="8"/>
  <c r="G107" i="8"/>
  <c r="F97" i="8"/>
  <c r="B29" i="9" s="1"/>
  <c r="J29" i="4" s="1"/>
  <c r="G106" i="8"/>
  <c r="C32" i="9" s="1"/>
  <c r="K32" i="4" s="1"/>
  <c r="F96" i="8"/>
  <c r="G105" i="8"/>
  <c r="F95" i="8"/>
  <c r="G104" i="8"/>
  <c r="G103" i="8"/>
  <c r="C31" i="9" s="1"/>
  <c r="K31" i="4" s="1"/>
  <c r="F94" i="8"/>
  <c r="B28" i="9" s="1"/>
  <c r="J28" i="4" s="1"/>
  <c r="G102" i="8"/>
  <c r="F93" i="8"/>
  <c r="F92" i="8"/>
  <c r="G101" i="8"/>
  <c r="G100" i="8"/>
  <c r="C30" i="9" s="1"/>
  <c r="K30" i="4" s="1"/>
  <c r="F91" i="8"/>
  <c r="B27" i="9" s="1"/>
  <c r="J27" i="4" s="1"/>
  <c r="G99" i="8"/>
  <c r="F90" i="8"/>
  <c r="G98" i="8"/>
  <c r="F89" i="8"/>
  <c r="F88" i="8"/>
  <c r="B26" i="9" s="1"/>
  <c r="J26" i="4" s="1"/>
  <c r="G97" i="8"/>
  <c r="C29" i="9" s="1"/>
  <c r="K29" i="4" s="1"/>
  <c r="F87" i="8"/>
  <c r="G96" i="8"/>
  <c r="F86" i="8"/>
  <c r="G95" i="8"/>
  <c r="F85" i="8"/>
  <c r="B25" i="9" s="1"/>
  <c r="J25" i="4" s="1"/>
  <c r="G94" i="8"/>
  <c r="C28" i="9" s="1"/>
  <c r="K28" i="4" s="1"/>
  <c r="F84" i="8"/>
  <c r="G93" i="8"/>
  <c r="F83" i="8"/>
  <c r="G92" i="8"/>
  <c r="F82" i="8"/>
  <c r="B24" i="9" s="1"/>
  <c r="J24" i="4" s="1"/>
  <c r="G91" i="8"/>
  <c r="C27" i="9" s="1"/>
  <c r="K27" i="4" s="1"/>
  <c r="G90" i="8"/>
  <c r="F81" i="8"/>
  <c r="G89" i="8"/>
  <c r="F80" i="8"/>
  <c r="G88" i="8"/>
  <c r="C26" i="9" s="1"/>
  <c r="K26" i="4" s="1"/>
  <c r="F79" i="8"/>
  <c r="B23" i="9" s="1"/>
  <c r="J23" i="4" s="1"/>
  <c r="G87" i="8"/>
  <c r="F78" i="8"/>
  <c r="G86" i="8"/>
  <c r="F77" i="8"/>
  <c r="G85" i="8"/>
  <c r="C25" i="9" s="1"/>
  <c r="K25" i="4" s="1"/>
  <c r="F76" i="8"/>
  <c r="B22" i="9" s="1"/>
  <c r="J22" i="4" s="1"/>
  <c r="F75" i="8"/>
  <c r="G84" i="8"/>
  <c r="G83" i="8"/>
  <c r="F74" i="8"/>
  <c r="F73" i="8"/>
  <c r="B21" i="9" s="1"/>
  <c r="J21" i="4" s="1"/>
  <c r="G82" i="8"/>
  <c r="C24" i="9" s="1"/>
  <c r="K24" i="4" s="1"/>
  <c r="F72" i="8"/>
  <c r="G81" i="8"/>
  <c r="G80" i="8"/>
  <c r="F71" i="8"/>
  <c r="F70" i="8"/>
  <c r="B20" i="9" s="1"/>
  <c r="J20" i="4" s="1"/>
  <c r="G79" i="8"/>
  <c r="C23" i="9" s="1"/>
  <c r="K23" i="4" s="1"/>
  <c r="F69" i="8"/>
  <c r="G78" i="8"/>
  <c r="G77" i="8"/>
  <c r="F68" i="8"/>
  <c r="G76" i="8"/>
  <c r="C22" i="9" s="1"/>
  <c r="K22" i="4" s="1"/>
  <c r="F67" i="8"/>
  <c r="B19" i="9" s="1"/>
  <c r="J19" i="4" s="1"/>
  <c r="G75" i="8"/>
  <c r="F66" i="8"/>
  <c r="G74" i="8"/>
  <c r="F65" i="8"/>
  <c r="G73" i="8"/>
  <c r="C21" i="9" s="1"/>
  <c r="K21" i="4" s="1"/>
  <c r="F64" i="8"/>
  <c r="B18" i="9" s="1"/>
  <c r="J18" i="4" s="1"/>
  <c r="F63" i="8"/>
  <c r="G72" i="8"/>
  <c r="F62" i="8"/>
  <c r="G71" i="8"/>
  <c r="G70" i="8"/>
  <c r="C20" i="9" s="1"/>
  <c r="K20" i="4" s="1"/>
  <c r="F61" i="8"/>
  <c r="B17" i="9" s="1"/>
  <c r="J17" i="4" s="1"/>
  <c r="G69" i="8"/>
  <c r="F60" i="8"/>
  <c r="G68" i="8"/>
  <c r="F59" i="8"/>
  <c r="G67" i="8"/>
  <c r="C19" i="9" s="1"/>
  <c r="K19" i="4" s="1"/>
  <c r="F58" i="8"/>
  <c r="B16" i="9" s="1"/>
  <c r="J16" i="4" s="1"/>
  <c r="F57" i="8"/>
  <c r="G66" i="8"/>
  <c r="G65" i="8"/>
  <c r="F56" i="8"/>
  <c r="G64" i="8"/>
  <c r="C18" i="9" s="1"/>
  <c r="K18" i="4" s="1"/>
  <c r="F55" i="8"/>
  <c r="B15" i="9" s="1"/>
  <c r="J15" i="4" s="1"/>
  <c r="G63" i="8"/>
  <c r="F54" i="8"/>
  <c r="G62" i="8"/>
  <c r="F53" i="8"/>
  <c r="F52" i="8"/>
  <c r="B14" i="9" s="1"/>
  <c r="J14" i="4" s="1"/>
  <c r="G61" i="8"/>
  <c r="C17" i="9" s="1"/>
  <c r="K17" i="4" s="1"/>
  <c r="F51" i="8"/>
  <c r="G60" i="8"/>
  <c r="G59" i="8"/>
  <c r="F50" i="8"/>
  <c r="F49" i="8"/>
  <c r="B13" i="9" s="1"/>
  <c r="J13" i="4" s="1"/>
  <c r="G58" i="8"/>
  <c r="C16" i="9" s="1"/>
  <c r="K16" i="4" s="1"/>
  <c r="F48" i="8"/>
  <c r="G57" i="8"/>
  <c r="F47" i="8"/>
  <c r="G56" i="8"/>
  <c r="G55" i="8"/>
  <c r="C15" i="9" s="1"/>
  <c r="K15" i="4" s="1"/>
  <c r="F46" i="8"/>
  <c r="B12" i="9" s="1"/>
  <c r="J12" i="4" s="1"/>
  <c r="G54" i="8"/>
  <c r="F45" i="8"/>
  <c r="G53" i="8"/>
  <c r="F44" i="8"/>
  <c r="G52" i="8"/>
  <c r="C14" i="9" s="1"/>
  <c r="K14" i="4" s="1"/>
  <c r="F43" i="8"/>
  <c r="B11" i="9" s="1"/>
  <c r="J11" i="4" s="1"/>
  <c r="G51" i="8"/>
  <c r="F42" i="8"/>
  <c r="G50" i="8"/>
  <c r="F41" i="8"/>
  <c r="F40" i="8"/>
  <c r="B10" i="9" s="1"/>
  <c r="J10" i="4" s="1"/>
  <c r="G49" i="8"/>
  <c r="C13" i="9" s="1"/>
  <c r="K13" i="4" s="1"/>
  <c r="F37" i="8"/>
  <c r="B9" i="9" s="1"/>
  <c r="J9" i="4" s="1"/>
  <c r="F38" i="8"/>
  <c r="G38" i="8"/>
  <c r="G44" i="8"/>
  <c r="G39" i="8"/>
  <c r="G40" i="8"/>
  <c r="C10" i="9" s="1"/>
  <c r="K10" i="4" s="1"/>
  <c r="G41" i="8"/>
  <c r="G45" i="8"/>
  <c r="G46" i="8"/>
  <c r="C12" i="9" s="1"/>
  <c r="K12" i="4" s="1"/>
  <c r="G42" i="8"/>
  <c r="G43" i="8"/>
  <c r="C11" i="9" s="1"/>
  <c r="K11" i="4" s="1"/>
  <c r="G36" i="8"/>
  <c r="G47" i="8"/>
  <c r="G37" i="8"/>
  <c r="C9" i="9" s="1"/>
  <c r="K9" i="4" s="1"/>
  <c r="G48" i="8"/>
  <c r="F39" i="8"/>
  <c r="F35" i="8"/>
  <c r="F36" i="8"/>
  <c r="F34" i="8"/>
  <c r="B8" i="9" s="1"/>
  <c r="J8" i="4" s="1"/>
  <c r="F33" i="8"/>
  <c r="F31" i="8"/>
  <c r="B7" i="9" s="1"/>
  <c r="J7" i="4" s="1"/>
  <c r="F30" i="8"/>
  <c r="F28" i="8"/>
  <c r="B6" i="9" s="1"/>
  <c r="J6" i="4" s="1"/>
  <c r="F27" i="8"/>
  <c r="F26" i="8"/>
  <c r="F25" i="8"/>
  <c r="B5" i="9" s="1"/>
  <c r="J5" i="4" s="1"/>
  <c r="F24" i="8"/>
  <c r="F22" i="8"/>
  <c r="B4" i="9" s="1"/>
  <c r="J4" i="4" s="1"/>
  <c r="F21" i="8"/>
  <c r="F18" i="8"/>
  <c r="F19" i="8"/>
  <c r="B3" i="9" s="1"/>
  <c r="J3" i="4" s="1"/>
  <c r="F2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Assistant</author>
  </authors>
  <commentList>
    <comment ref="C4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Natural log of the exchange rate. Using logs makes returns additive and scale-free.</t>
        </r>
      </text>
    </comment>
    <comment ref="D4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Log return: ln(E_t) - ln(E_{t-1}). This is the series whose variability we measure.</t>
        </r>
      </text>
    </comment>
    <comment ref="E4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Volatility proxy: sample standard deviation of the last 4 r_t values.</t>
        </r>
      </text>
    </comment>
  </commentList>
</comments>
</file>

<file path=xl/sharedStrings.xml><?xml version="1.0" encoding="utf-8"?>
<sst xmlns="http://schemas.openxmlformats.org/spreadsheetml/2006/main" count="15092" uniqueCount="4964">
  <si>
    <t>Quarter</t>
  </si>
  <si>
    <t>NetIncome</t>
  </si>
  <si>
    <t>TotalAssets_Begin</t>
  </si>
  <si>
    <t>TotalAssets_End</t>
  </si>
  <si>
    <t>OperatingCashFlow</t>
  </si>
  <si>
    <t>CurrentAssets</t>
  </si>
  <si>
    <t>CurrentLiabilities</t>
  </si>
  <si>
    <t>TotalDebt</t>
  </si>
  <si>
    <t>ShareholdersEquity</t>
  </si>
  <si>
    <t>HedgingDummy (0/1)</t>
  </si>
  <si>
    <t>IDRUSD_QuarterEnd</t>
  </si>
  <si>
    <t>AvgAssets</t>
  </si>
  <si>
    <t>ROA</t>
  </si>
  <si>
    <t>DER</t>
  </si>
  <si>
    <t>CurrentRatio</t>
  </si>
  <si>
    <t>ln_TotalAssets</t>
  </si>
  <si>
    <t>OCF_to_AvgAssets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</si>
  <si>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</si>
  <si>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</si>
  <si>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</si>
  <si>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</si>
  <si>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</si>
  <si>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</si>
  <si>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</si>
  <si>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</si>
  <si>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</si>
  <si>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</si>
  <si>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</si>
  <si>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</si>
  <si>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</si>
  <si>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</si>
  <si>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</si>
  <si>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</si>
  <si>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lnE</t>
  </si>
  <si>
    <t>r_t (Quarterly log return)</t>
  </si>
  <si>
    <t>ERVol_4Q (SD of r)</t>
  </si>
  <si>
    <t>ERVol_12Q (SD of r)</t>
  </si>
  <si>
    <t>ΔOCF</t>
  </si>
  <si>
    <t>CFV_4Q_SD(OCF/Assets)</t>
  </si>
  <si>
    <t>CFV_12Q_SD(OCF/Assets)</t>
  </si>
  <si>
    <t>CFV_4Q_SD(ΔOCF)</t>
  </si>
  <si>
    <t>CFV_12Q_SD(ΔOCF)</t>
  </si>
  <si>
    <t>CFV_12Q_OCFtoAssets</t>
  </si>
  <si>
    <t>ERVol_12Q</t>
  </si>
  <si>
    <t>HedgingDummy</t>
  </si>
  <si>
    <t>ERVol_Q_Monthly_3M</t>
  </si>
  <si>
    <t>ERVol_Q_Monthly_12M</t>
  </si>
  <si>
    <t>INSTRUCTIONS:</t>
  </si>
  <si>
    <t>1) Enter Krakatau Steel quarterly data in 'Quarterly_Firm' (A–K). Replace the example numbers.</t>
  </si>
  <si>
    <t>2) Columns L–Q compute derived variables automatically.</t>
  </si>
  <si>
    <t>3) 'FX_Calc' computes ln(E), quarterly log returns r_t, and rolling volatility over 4 and 12 quarters using STDEV.S and OFFSET.</t>
  </si>
  <si>
    <t>4) 'CFV_Calc' computes cash-flow volatility as rolling SD of OCF/AvgAssets and of ΔOCF over 4 and 12 quarters.</t>
  </si>
  <si>
    <t>5) 'Constructed_Variables' gathers variables for regression.</t>
  </si>
  <si>
    <t>FORMULA EXAMPLES:</t>
  </si>
  <si>
    <t>• ln(E) = LN(B2) where B is IDRUSD_QuarterEnd.</t>
  </si>
  <si>
    <t>• Quarterly log return r_t = C3 - C2 where C is ln(E).</t>
  </si>
  <si>
    <t>• 4Q FX volatility (row 5): =STDEV.S(OFFSET(D5,-3,0,4,1)) -&gt; uses D2:D5.</t>
  </si>
  <si>
    <t>• 12Q FX volatility (row 13): =STDEV.S(OFFSET(D13,-11,0,12,1)) -&gt; uses D2:D13.</t>
  </si>
  <si>
    <t>• ΔOCF = B3 - B2 in 'CFV_Calc'.</t>
  </si>
  <si>
    <t>• 4Q CFV(OCF/Assets) (row 5): =STDEV.S(OFFSET(D5,-3,0,4,1)).</t>
  </si>
  <si>
    <t>• 12Q CFV(ΔOCF) (row 13): =STDEV.S(OFFSET(E13,-11,0,12,1)).</t>
  </si>
  <si>
    <t>Notes:</t>
  </si>
  <si>
    <t>- Use STDEV.P if treating data as population.</t>
  </si>
  <si>
    <t>- You can change window length by editing the height parameter in OFFSET (e.g., 4 -&gt; 8).</t>
  </si>
  <si>
    <t>- Consider winsorizing outliers in ratios (ROA, Current Ratio) before regression.</t>
  </si>
  <si>
    <t xml:space="preserve"> </t>
  </si>
  <si>
    <t>BANK INDONESIA REFERENCES (placeholders):</t>
  </si>
  <si>
    <t>• Recommended daily source: BI JISDOR (USD/IDR reference rate). Paste into Daily_FX!B (IDRUSD_Spot).</t>
  </si>
  <si>
    <t>• Monthly average is computed automatically from Daily_FX using AVERAGEIFS over each calendar month.</t>
  </si>
  <si>
    <t>• Quarterly ERVol (from monthly) is computed via LOOKUP of the last month in each quarter.</t>
  </si>
  <si>
    <t>Date</t>
  </si>
  <si>
    <t>IDRUSD_Spot (paste JISDOR/daily)</t>
  </si>
  <si>
    <t>Month (yyyy-mm)</t>
  </si>
  <si>
    <t>Quarter (YYYYQ#)</t>
  </si>
  <si>
    <t>2013-01-01</t>
  </si>
  <si>
    <t>2013-01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</si>
  <si>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</si>
  <si>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</si>
  <si>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</si>
  <si>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</si>
  <si>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</si>
  <si>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</si>
  <si>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</si>
  <si>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</si>
  <si>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</si>
  <si>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</si>
  <si>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</si>
  <si>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</si>
  <si>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</si>
  <si>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</si>
  <si>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</si>
  <si>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</si>
  <si>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</si>
  <si>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</si>
  <si>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</si>
  <si>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</si>
  <si>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</si>
  <si>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</si>
  <si>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</si>
  <si>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</si>
  <si>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</si>
  <si>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</si>
  <si>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</si>
  <si>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</si>
  <si>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</si>
  <si>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</si>
  <si>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</si>
  <si>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</si>
  <si>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</si>
  <si>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</si>
  <si>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</si>
  <si>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</si>
  <si>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</si>
  <si>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</si>
  <si>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</si>
  <si>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</si>
  <si>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</si>
  <si>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</si>
  <si>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</si>
  <si>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</si>
  <si>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</si>
  <si>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</si>
  <si>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</si>
  <si>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</si>
  <si>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</si>
  <si>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</si>
  <si>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</si>
  <si>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</si>
  <si>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</si>
  <si>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</si>
  <si>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</si>
  <si>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</si>
  <si>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</si>
  <si>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</si>
  <si>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</si>
  <si>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</si>
  <si>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</si>
  <si>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</si>
  <si>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</si>
  <si>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</si>
  <si>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</si>
  <si>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</si>
  <si>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</si>
  <si>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</si>
  <si>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</si>
  <si>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</si>
  <si>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</si>
  <si>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</si>
  <si>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</si>
  <si>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</si>
  <si>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</si>
  <si>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</si>
  <si>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</si>
  <si>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</si>
  <si>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</si>
  <si>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</si>
  <si>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</si>
  <si>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</si>
  <si>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</si>
  <si>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</si>
  <si>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</si>
  <si>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</si>
  <si>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</si>
  <si>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</si>
  <si>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</si>
  <si>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</si>
  <si>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</si>
  <si>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</si>
  <si>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</si>
  <si>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</si>
  <si>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</si>
  <si>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</si>
  <si>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</si>
  <si>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</si>
  <si>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</si>
  <si>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</si>
  <si>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</si>
  <si>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</si>
  <si>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</si>
  <si>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</si>
  <si>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</si>
  <si>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</si>
  <si>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</si>
  <si>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</si>
  <si>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</si>
  <si>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</si>
  <si>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</si>
  <si>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</si>
  <si>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</si>
  <si>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</si>
  <si>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</si>
  <si>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</si>
  <si>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</si>
  <si>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</si>
  <si>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</si>
  <si>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</si>
  <si>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</si>
  <si>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</si>
  <si>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</si>
  <si>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</si>
  <si>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</si>
  <si>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</si>
  <si>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</si>
  <si>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</si>
  <si>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</si>
  <si>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</si>
  <si>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</si>
  <si>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</si>
  <si>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</si>
  <si>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</si>
  <si>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</si>
  <si>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</si>
  <si>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</si>
  <si>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</si>
  <si>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</si>
  <si>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</si>
  <si>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</si>
  <si>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</si>
  <si>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</si>
  <si>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</si>
  <si>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</si>
  <si>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</si>
  <si>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</si>
  <si>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</si>
  <si>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</si>
  <si>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</si>
  <si>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</si>
  <si>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</si>
  <si>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</si>
  <si>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</si>
  <si>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</si>
  <si>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</si>
  <si>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</si>
  <si>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</si>
  <si>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</si>
  <si>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</si>
  <si>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</si>
  <si>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</si>
  <si>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</si>
  <si>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</si>
  <si>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</si>
  <si>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</si>
  <si>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</si>
  <si>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</si>
  <si>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</si>
  <si>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</si>
  <si>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</si>
  <si>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</si>
  <si>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</si>
  <si>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</si>
  <si>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</si>
  <si>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</si>
  <si>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</si>
  <si>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</si>
  <si>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</si>
  <si>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</si>
  <si>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</si>
  <si>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</si>
  <si>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</si>
  <si>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</si>
  <si>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</si>
  <si>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</si>
  <si>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</si>
  <si>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</si>
  <si>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</si>
  <si>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</si>
  <si>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</si>
  <si>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</si>
  <si>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</si>
  <si>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</si>
  <si>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</si>
  <si>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</si>
  <si>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</si>
  <si>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</si>
  <si>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</si>
  <si>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</si>
  <si>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</si>
  <si>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</si>
  <si>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</si>
  <si>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</si>
  <si>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</si>
  <si>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</si>
  <si>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</si>
  <si>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</si>
  <si>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</si>
  <si>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</si>
  <si>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</si>
  <si>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</si>
  <si>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</si>
  <si>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</si>
  <si>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</si>
  <si>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</si>
  <si>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</si>
  <si>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</si>
  <si>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</si>
  <si>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</si>
  <si>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</si>
  <si>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</si>
  <si>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</si>
  <si>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</si>
  <si>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</si>
  <si>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</si>
  <si>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</si>
  <si>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</si>
  <si>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</si>
  <si>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</si>
  <si>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</si>
  <si>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</si>
  <si>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</si>
  <si>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</si>
  <si>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</si>
  <si>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</si>
  <si>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</si>
  <si>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</si>
  <si>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</si>
  <si>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</si>
  <si>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</si>
  <si>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</si>
  <si>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</si>
  <si>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</si>
  <si>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</si>
  <si>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</si>
  <si>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</si>
  <si>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</si>
  <si>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</si>
  <si>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</si>
  <si>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</si>
  <si>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</si>
  <si>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</si>
  <si>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</si>
  <si>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</si>
  <si>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</si>
  <si>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</si>
  <si>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</si>
  <si>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</si>
  <si>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</si>
  <si>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</si>
  <si>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</si>
  <si>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</si>
  <si>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</si>
  <si>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</si>
  <si>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</si>
  <si>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</si>
  <si>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</si>
  <si>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</si>
  <si>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</si>
  <si>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</si>
  <si>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</si>
  <si>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</si>
  <si>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</si>
  <si>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</si>
  <si>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</si>
  <si>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</si>
  <si>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</si>
  <si>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</si>
  <si>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</si>
  <si>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</si>
  <si>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</si>
  <si>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</si>
  <si>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</si>
  <si>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</si>
  <si>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</si>
  <si>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</si>
  <si>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</si>
  <si>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</si>
  <si>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</si>
  <si>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</si>
  <si>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</si>
  <si>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</si>
  <si>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</si>
  <si>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</si>
  <si>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</si>
  <si>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</si>
  <si>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</si>
  <si>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</si>
  <si>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</si>
  <si>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</si>
  <si>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</si>
  <si>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</si>
  <si>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</si>
  <si>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</si>
  <si>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</si>
  <si>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</si>
  <si>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</si>
  <si>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</si>
  <si>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</si>
  <si>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</si>
  <si>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</si>
  <si>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</si>
  <si>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</si>
  <si>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</si>
  <si>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</si>
  <si>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</si>
  <si>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</si>
  <si>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</si>
  <si>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</si>
  <si>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</si>
  <si>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</si>
  <si>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</si>
  <si>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</si>
  <si>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</si>
  <si>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</si>
  <si>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</si>
  <si>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</si>
  <si>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</si>
  <si>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</si>
  <si>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</si>
  <si>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</si>
  <si>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</si>
  <si>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</si>
  <si>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</si>
  <si>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</si>
  <si>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</si>
  <si>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</si>
  <si>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</si>
  <si>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</si>
  <si>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</si>
  <si>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</si>
  <si>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</si>
  <si>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</si>
  <si>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</si>
  <si>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</si>
  <si>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</si>
  <si>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</si>
  <si>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</si>
  <si>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</si>
  <si>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</si>
  <si>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</si>
  <si>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</si>
  <si>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</si>
  <si>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</si>
  <si>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</si>
  <si>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</si>
  <si>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</si>
  <si>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</si>
  <si>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</si>
  <si>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</si>
  <si>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</si>
  <si>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</si>
  <si>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</si>
  <si>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</si>
  <si>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</si>
  <si>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</si>
  <si>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</si>
  <si>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</si>
  <si>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</si>
  <si>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</si>
  <si>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</si>
  <si>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</si>
  <si>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</si>
  <si>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</si>
  <si>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</si>
  <si>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</si>
  <si>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</si>
  <si>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</si>
  <si>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</si>
  <si>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</si>
  <si>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</si>
  <si>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</si>
  <si>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</si>
  <si>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</si>
  <si>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</si>
  <si>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</si>
  <si>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</si>
  <si>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</si>
  <si>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</si>
  <si>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</si>
  <si>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</si>
  <si>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</si>
  <si>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</si>
  <si>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</si>
  <si>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</si>
  <si>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</si>
  <si>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</si>
  <si>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</si>
  <si>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</si>
  <si>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</si>
  <si>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</si>
  <si>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</si>
  <si>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</si>
  <si>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</si>
  <si>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</si>
  <si>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</si>
  <si>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</si>
  <si>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</si>
  <si>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</si>
  <si>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</si>
  <si>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</si>
  <si>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</si>
  <si>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</si>
  <si>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</si>
  <si>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</si>
  <si>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</si>
  <si>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</si>
  <si>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</si>
  <si>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</si>
  <si>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</si>
  <si>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</si>
  <si>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</si>
  <si>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</si>
  <si>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</si>
  <si>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</si>
  <si>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</si>
  <si>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</si>
  <si>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</si>
  <si>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</si>
  <si>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</si>
  <si>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</si>
  <si>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</si>
  <si>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</si>
  <si>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</si>
  <si>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</si>
  <si>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</si>
  <si>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</si>
  <si>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</si>
  <si>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</si>
  <si>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</si>
  <si>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</si>
  <si>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</si>
  <si>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</si>
  <si>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</si>
  <si>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</si>
  <si>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</si>
  <si>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</si>
  <si>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</si>
  <si>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</si>
  <si>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</si>
  <si>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</si>
  <si>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</si>
  <si>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</si>
  <si>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</si>
  <si>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</si>
  <si>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</si>
  <si>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</si>
  <si>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</si>
  <si>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</si>
  <si>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</si>
  <si>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</si>
  <si>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</si>
  <si>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</si>
  <si>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</si>
  <si>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</si>
  <si>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</si>
  <si>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</si>
  <si>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</si>
  <si>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</si>
  <si>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</si>
  <si>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</si>
  <si>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</si>
  <si>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</si>
  <si>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</si>
  <si>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</si>
  <si>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</si>
  <si>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</si>
  <si>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</si>
  <si>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</si>
  <si>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</si>
  <si>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</si>
  <si>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</si>
  <si>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</si>
  <si>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</si>
  <si>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</si>
  <si>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</si>
  <si>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</si>
  <si>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</si>
  <si>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</si>
  <si>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</si>
  <si>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</si>
  <si>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</si>
  <si>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</si>
  <si>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</si>
  <si>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</si>
  <si>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</si>
  <si>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</si>
  <si>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</si>
  <si>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</si>
  <si>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</si>
  <si>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</si>
  <si>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</si>
  <si>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</si>
  <si>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</si>
  <si>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</si>
  <si>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</si>
  <si>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</si>
  <si>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</si>
  <si>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</si>
  <si>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</si>
  <si>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</si>
  <si>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</si>
  <si>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</si>
  <si>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</si>
  <si>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</si>
  <si>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</si>
  <si>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</si>
  <si>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</si>
  <si>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</si>
  <si>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</si>
  <si>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</si>
  <si>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</si>
  <si>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</si>
  <si>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</si>
  <si>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</si>
  <si>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</si>
  <si>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</si>
  <si>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</si>
  <si>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</si>
  <si>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</si>
  <si>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</si>
  <si>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</si>
  <si>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</si>
  <si>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</si>
  <si>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</si>
  <si>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</si>
  <si>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</si>
  <si>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</si>
  <si>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</si>
  <si>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</si>
  <si>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</si>
  <si>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</si>
  <si>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</si>
  <si>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</si>
  <si>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</si>
  <si>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</si>
  <si>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</si>
  <si>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</si>
  <si>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</si>
  <si>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</si>
  <si>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</si>
  <si>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</si>
  <si>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</si>
  <si>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</si>
  <si>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</si>
  <si>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</si>
  <si>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</si>
  <si>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</si>
  <si>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</si>
  <si>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</si>
  <si>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</si>
  <si>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</si>
  <si>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</si>
  <si>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</si>
  <si>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</si>
  <si>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</si>
  <si>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</si>
  <si>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</si>
  <si>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</si>
  <si>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</si>
  <si>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</si>
  <si>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</si>
  <si>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</si>
  <si>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</si>
  <si>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</si>
  <si>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</si>
  <si>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</si>
  <si>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</si>
  <si>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</si>
  <si>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</si>
  <si>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</si>
  <si>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</si>
  <si>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</si>
  <si>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</si>
  <si>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</si>
  <si>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</si>
  <si>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</si>
  <si>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</si>
  <si>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</si>
  <si>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</si>
  <si>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</si>
  <si>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</si>
  <si>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</si>
  <si>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</si>
  <si>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</si>
  <si>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</si>
  <si>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</si>
  <si>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</si>
  <si>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</si>
  <si>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</si>
  <si>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</si>
  <si>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</si>
  <si>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</si>
  <si>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</si>
  <si>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</si>
  <si>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</si>
  <si>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</si>
  <si>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</si>
  <si>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</si>
  <si>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</si>
  <si>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</si>
  <si>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</si>
  <si>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</si>
  <si>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</si>
  <si>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</si>
  <si>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</si>
  <si>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</si>
  <si>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</si>
  <si>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</si>
  <si>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</si>
  <si>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</si>
  <si>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</si>
  <si>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</si>
  <si>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</si>
  <si>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</si>
  <si>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</si>
  <si>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</si>
  <si>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</si>
  <si>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</si>
  <si>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</si>
  <si>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</si>
  <si>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</si>
  <si>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</si>
  <si>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</si>
  <si>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</si>
  <si>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</si>
  <si>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</si>
  <si>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</si>
  <si>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</si>
  <si>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</si>
  <si>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</si>
  <si>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</si>
  <si>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</si>
  <si>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</si>
  <si>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</si>
  <si>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</si>
  <si>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</si>
  <si>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</si>
  <si>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</si>
  <si>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</si>
  <si>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</si>
  <si>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</si>
  <si>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</si>
  <si>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</si>
  <si>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</si>
  <si>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</si>
  <si>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</si>
  <si>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</si>
  <si>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</si>
  <si>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</si>
  <si>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</si>
  <si>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</si>
  <si>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</si>
  <si>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</si>
  <si>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</si>
  <si>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</si>
  <si>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</si>
  <si>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</si>
  <si>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</si>
  <si>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</si>
  <si>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</si>
  <si>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</si>
  <si>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</si>
  <si>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</si>
  <si>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</si>
  <si>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</si>
  <si>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</si>
  <si>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</si>
  <si>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</si>
  <si>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</si>
  <si>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</si>
  <si>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</si>
  <si>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</si>
  <si>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</si>
  <si>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</si>
  <si>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</si>
  <si>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</si>
  <si>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</si>
  <si>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</si>
  <si>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</si>
  <si>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</si>
  <si>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</si>
  <si>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</si>
  <si>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</si>
  <si>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</si>
  <si>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</si>
  <si>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</si>
  <si>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</si>
  <si>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</si>
  <si>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</si>
  <si>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</si>
  <si>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</si>
  <si>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</si>
  <si>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</si>
  <si>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</si>
  <si>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</si>
  <si>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</si>
  <si>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</si>
  <si>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</si>
  <si>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</si>
  <si>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</si>
  <si>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</si>
  <si>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</si>
  <si>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</si>
  <si>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</si>
  <si>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</si>
  <si>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</si>
  <si>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</si>
  <si>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</si>
  <si>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</si>
  <si>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</si>
  <si>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</si>
  <si>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</si>
  <si>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</si>
  <si>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</si>
  <si>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</si>
  <si>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</si>
  <si>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</si>
  <si>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</si>
  <si>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</si>
  <si>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</si>
  <si>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</si>
  <si>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</si>
  <si>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</si>
  <si>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</si>
  <si>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</si>
  <si>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</si>
  <si>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</si>
  <si>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</si>
  <si>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</si>
  <si>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</si>
  <si>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</si>
  <si>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</si>
  <si>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</si>
  <si>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</si>
  <si>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</si>
  <si>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</si>
  <si>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</si>
  <si>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</si>
  <si>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</si>
  <si>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</si>
  <si>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</si>
  <si>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</si>
  <si>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</si>
  <si>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</si>
  <si>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</si>
  <si>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</si>
  <si>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</si>
  <si>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</si>
  <si>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</si>
  <si>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</si>
  <si>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</si>
  <si>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</si>
  <si>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</si>
  <si>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</si>
  <si>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</si>
  <si>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</si>
  <si>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</si>
  <si>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</si>
  <si>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</si>
  <si>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</si>
  <si>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</si>
  <si>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</si>
  <si>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</si>
  <si>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</si>
  <si>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</si>
  <si>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</si>
  <si>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</si>
  <si>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</si>
  <si>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</si>
  <si>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</si>
  <si>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</si>
  <si>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</si>
  <si>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</si>
  <si>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</si>
  <si>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</si>
  <si>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</si>
  <si>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</si>
  <si>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</si>
  <si>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</si>
  <si>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</si>
  <si>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</si>
  <si>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</si>
  <si>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</si>
  <si>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</si>
  <si>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</si>
  <si>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</si>
  <si>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</si>
  <si>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</si>
  <si>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</si>
  <si>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</si>
  <si>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</si>
  <si>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</si>
  <si>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</si>
  <si>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</si>
  <si>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</si>
  <si>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</si>
  <si>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</si>
  <si>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</si>
  <si>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</si>
  <si>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</si>
  <si>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</si>
  <si>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</si>
  <si>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</si>
  <si>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</si>
  <si>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</si>
  <si>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</si>
  <si>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</si>
  <si>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</si>
  <si>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</si>
  <si>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</si>
  <si>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</si>
  <si>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</si>
  <si>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</si>
  <si>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</si>
  <si>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</si>
  <si>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</si>
  <si>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</si>
  <si>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</si>
  <si>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</si>
  <si>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</si>
  <si>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</si>
  <si>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</si>
  <si>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</si>
  <si>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</si>
  <si>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</si>
  <si>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</si>
  <si>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</si>
  <si>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</si>
  <si>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</si>
  <si>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</si>
  <si>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</si>
  <si>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</si>
  <si>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</si>
  <si>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</si>
  <si>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</si>
  <si>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</si>
  <si>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</si>
  <si>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</si>
  <si>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</si>
  <si>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</si>
  <si>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</si>
  <si>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</si>
  <si>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</si>
  <si>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</si>
  <si>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</si>
  <si>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</si>
  <si>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</si>
  <si>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</si>
  <si>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</si>
  <si>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</si>
  <si>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</si>
  <si>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</si>
  <si>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</si>
  <si>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</si>
  <si>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</si>
  <si>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</si>
  <si>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</si>
  <si>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</si>
  <si>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</si>
  <si>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</si>
  <si>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</si>
  <si>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</si>
  <si>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</si>
  <si>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</si>
  <si>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</si>
  <si>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</si>
  <si>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</si>
  <si>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</si>
  <si>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</si>
  <si>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</si>
  <si>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</si>
  <si>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</si>
  <si>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</si>
  <si>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</si>
  <si>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</si>
  <si>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</si>
  <si>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</si>
  <si>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</si>
  <si>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</si>
  <si>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</si>
  <si>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</si>
  <si>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</si>
  <si>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</si>
  <si>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</si>
  <si>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</si>
  <si>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</si>
  <si>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</si>
  <si>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</si>
  <si>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</si>
  <si>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</si>
  <si>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</si>
  <si>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</si>
  <si>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</si>
  <si>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</si>
  <si>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</si>
  <si>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</si>
  <si>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</si>
  <si>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</si>
  <si>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</si>
  <si>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</si>
  <si>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</si>
  <si>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</si>
  <si>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</si>
  <si>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</si>
  <si>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</si>
  <si>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</si>
  <si>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</si>
  <si>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</si>
  <si>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</si>
  <si>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</si>
  <si>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</si>
  <si>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</si>
  <si>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</si>
  <si>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</si>
  <si>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</si>
  <si>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</si>
  <si>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</si>
  <si>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</si>
  <si>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</si>
  <si>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</si>
  <si>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</si>
  <si>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</si>
  <si>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</si>
  <si>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</si>
  <si>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</si>
  <si>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</si>
  <si>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</si>
  <si>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</si>
  <si>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</si>
  <si>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</si>
  <si>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</si>
  <si>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</si>
  <si>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</si>
  <si>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</si>
  <si>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</si>
  <si>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</si>
  <si>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</si>
  <si>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</si>
  <si>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</si>
  <si>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</si>
  <si>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</si>
  <si>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</si>
  <si>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</si>
  <si>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</si>
  <si>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</si>
  <si>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</si>
  <si>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</si>
  <si>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</si>
  <si>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</si>
  <si>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</si>
  <si>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</si>
  <si>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</si>
  <si>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</si>
  <si>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</si>
  <si>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</si>
  <si>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</si>
  <si>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</si>
  <si>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</si>
  <si>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</si>
  <si>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</si>
  <si>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</si>
  <si>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</si>
  <si>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</si>
  <si>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</si>
  <si>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</si>
  <si>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</si>
  <si>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</si>
  <si>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</si>
  <si>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</si>
  <si>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</si>
  <si>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</si>
  <si>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</si>
  <si>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</si>
  <si>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</si>
  <si>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</si>
  <si>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</si>
  <si>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</si>
  <si>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</si>
  <si>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</si>
  <si>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</si>
  <si>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</si>
  <si>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</si>
  <si>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</si>
  <si>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</si>
  <si>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</si>
  <si>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</si>
  <si>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</si>
  <si>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</si>
  <si>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</si>
  <si>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</si>
  <si>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</si>
  <si>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</si>
  <si>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</si>
  <si>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</si>
  <si>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</si>
  <si>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</si>
  <si>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</si>
  <si>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</si>
  <si>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</si>
  <si>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</si>
  <si>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</si>
  <si>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</si>
  <si>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</si>
  <si>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</si>
  <si>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</si>
  <si>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</si>
  <si>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</si>
  <si>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</si>
  <si>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</si>
  <si>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</si>
  <si>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</si>
  <si>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</si>
  <si>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</si>
  <si>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</si>
  <si>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</si>
  <si>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</si>
  <si>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</si>
  <si>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</si>
  <si>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</si>
  <si>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</si>
  <si>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</si>
  <si>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</si>
  <si>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</si>
  <si>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</si>
  <si>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</si>
  <si>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</si>
  <si>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</si>
  <si>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</si>
  <si>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</si>
  <si>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</si>
  <si>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</si>
  <si>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</si>
  <si>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</si>
  <si>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</si>
  <si>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</si>
  <si>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</si>
  <si>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</si>
  <si>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</si>
  <si>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</si>
  <si>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</si>
  <si>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</si>
  <si>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</si>
  <si>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</si>
  <si>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</si>
  <si>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</si>
  <si>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</si>
  <si>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</si>
  <si>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</si>
  <si>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</si>
  <si>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</si>
  <si>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</si>
  <si>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</si>
  <si>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</si>
  <si>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</si>
  <si>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</si>
  <si>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</si>
  <si>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</si>
  <si>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</si>
  <si>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</si>
  <si>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</si>
  <si>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</si>
  <si>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</si>
  <si>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</si>
  <si>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</si>
  <si>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</si>
  <si>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</si>
  <si>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</si>
  <si>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</si>
  <si>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</si>
  <si>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</si>
  <si>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</si>
  <si>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</si>
  <si>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</si>
  <si>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</si>
  <si>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</si>
  <si>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</si>
  <si>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</si>
  <si>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</si>
  <si>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</si>
  <si>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</si>
  <si>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</si>
  <si>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</si>
  <si>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</si>
  <si>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</si>
  <si>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</si>
  <si>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</si>
  <si>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</si>
  <si>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</si>
  <si>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</si>
  <si>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</si>
  <si>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</si>
  <si>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</si>
  <si>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</si>
  <si>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</si>
  <si>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</si>
  <si>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</si>
  <si>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</si>
  <si>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</si>
  <si>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</si>
  <si>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</si>
  <si>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</si>
  <si>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</si>
  <si>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</si>
  <si>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</si>
  <si>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</si>
  <si>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</si>
  <si>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</si>
  <si>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</si>
  <si>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</si>
  <si>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</si>
  <si>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</si>
  <si>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</si>
  <si>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</si>
  <si>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</si>
  <si>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</si>
  <si>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</si>
  <si>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</si>
  <si>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</si>
  <si>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</si>
  <si>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</si>
  <si>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</si>
  <si>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</si>
  <si>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</si>
  <si>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</si>
  <si>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</si>
  <si>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</si>
  <si>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</si>
  <si>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</si>
  <si>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</si>
  <si>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</si>
  <si>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</si>
  <si>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</si>
  <si>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</si>
  <si>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</si>
  <si>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</si>
  <si>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</si>
  <si>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</si>
  <si>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</si>
  <si>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</si>
  <si>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</si>
  <si>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</si>
  <si>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</si>
  <si>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</si>
  <si>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</si>
  <si>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</si>
  <si>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</si>
  <si>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</si>
  <si>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</si>
  <si>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</si>
  <si>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</si>
  <si>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</si>
  <si>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</si>
  <si>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</si>
  <si>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</si>
  <si>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</si>
  <si>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</si>
  <si>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</si>
  <si>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</si>
  <si>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</si>
  <si>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</si>
  <si>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</si>
  <si>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</si>
  <si>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</si>
  <si>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</si>
  <si>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</si>
  <si>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</si>
  <si>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</si>
  <si>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</si>
  <si>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</si>
  <si>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</si>
  <si>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</si>
  <si>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</si>
  <si>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</si>
  <si>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</si>
  <si>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</si>
  <si>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</si>
  <si>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</si>
  <si>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</si>
  <si>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</si>
  <si>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</si>
  <si>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</si>
  <si>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</si>
  <si>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</si>
  <si>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</si>
  <si>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</si>
  <si>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</si>
  <si>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</si>
  <si>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</si>
  <si>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</si>
  <si>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</si>
  <si>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</si>
  <si>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</si>
  <si>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</si>
  <si>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</si>
  <si>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</si>
  <si>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</si>
  <si>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</si>
  <si>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</si>
  <si>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</si>
  <si>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</si>
  <si>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</si>
  <si>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</si>
  <si>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</si>
  <si>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</si>
  <si>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</si>
  <si>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</si>
  <si>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</si>
  <si>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</si>
  <si>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</si>
  <si>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</si>
  <si>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</si>
  <si>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</si>
  <si>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</si>
  <si>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</si>
  <si>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</si>
  <si>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</si>
  <si>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</si>
  <si>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</si>
  <si>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</si>
  <si>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</si>
  <si>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</si>
  <si>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</si>
  <si>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</si>
  <si>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</si>
  <si>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</si>
  <si>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</si>
  <si>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</si>
  <si>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</si>
  <si>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</si>
  <si>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</si>
  <si>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</si>
  <si>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</si>
  <si>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</si>
  <si>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</si>
  <si>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</si>
  <si>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</si>
  <si>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</si>
  <si>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</si>
  <si>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</si>
  <si>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</si>
  <si>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</si>
  <si>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</si>
  <si>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</si>
  <si>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</si>
  <si>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</si>
  <si>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</si>
  <si>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</si>
  <si>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</si>
  <si>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</si>
  <si>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</si>
  <si>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</si>
  <si>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</si>
  <si>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</si>
  <si>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</si>
  <si>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</si>
  <si>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</si>
  <si>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</si>
  <si>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</si>
  <si>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</si>
  <si>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</si>
  <si>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</si>
  <si>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</si>
  <si>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</si>
  <si>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</si>
  <si>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</si>
  <si>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</si>
  <si>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</si>
  <si>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</si>
  <si>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</si>
  <si>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</si>
  <si>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</si>
  <si>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</si>
  <si>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</si>
  <si>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</si>
  <si>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</si>
  <si>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</si>
  <si>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</si>
  <si>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</si>
  <si>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</si>
  <si>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</si>
  <si>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</si>
  <si>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</si>
  <si>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</si>
  <si>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</si>
  <si>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</si>
  <si>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</si>
  <si>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</si>
  <si>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</si>
  <si>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</si>
  <si>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</si>
  <si>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</si>
  <si>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</si>
  <si>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</si>
  <si>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</si>
  <si>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</si>
  <si>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</si>
  <si>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</si>
  <si>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</si>
  <si>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</si>
  <si>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</si>
  <si>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</si>
  <si>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</si>
  <si>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</si>
  <si>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</si>
  <si>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</si>
  <si>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</si>
  <si>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</si>
  <si>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</si>
  <si>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</si>
  <si>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</si>
  <si>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</si>
  <si>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</si>
  <si>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</si>
  <si>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</si>
  <si>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</si>
  <si>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</si>
  <si>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</si>
  <si>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</si>
  <si>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</si>
  <si>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</si>
  <si>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</si>
  <si>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</si>
  <si>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</si>
  <si>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</si>
  <si>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</si>
  <si>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</si>
  <si>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</si>
  <si>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</si>
  <si>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</si>
  <si>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</si>
  <si>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</si>
  <si>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</si>
  <si>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</si>
  <si>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</si>
  <si>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</si>
  <si>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</si>
  <si>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</si>
  <si>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</si>
  <si>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</si>
  <si>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</si>
  <si>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</si>
  <si>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</si>
  <si>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</si>
  <si>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</si>
  <si>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</si>
  <si>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</si>
  <si>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</si>
  <si>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</si>
  <si>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</si>
  <si>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</si>
  <si>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</si>
  <si>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</si>
  <si>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</si>
  <si>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</si>
  <si>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</si>
  <si>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</si>
  <si>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</si>
  <si>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</si>
  <si>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</si>
  <si>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</si>
  <si>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</si>
  <si>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</si>
  <si>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</si>
  <si>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</si>
  <si>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</si>
  <si>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</si>
  <si>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</si>
  <si>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</si>
  <si>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</si>
  <si>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</si>
  <si>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</si>
  <si>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</si>
  <si>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</si>
  <si>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</si>
  <si>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</si>
  <si>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</si>
  <si>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</si>
  <si>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</si>
  <si>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</si>
  <si>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</si>
  <si>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</si>
  <si>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</si>
  <si>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</si>
  <si>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</si>
  <si>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</si>
  <si>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</si>
  <si>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</si>
  <si>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</si>
  <si>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</si>
  <si>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</si>
  <si>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</si>
  <si>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</si>
  <si>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</si>
  <si>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</si>
  <si>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</si>
  <si>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</si>
  <si>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</si>
  <si>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</si>
  <si>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</si>
  <si>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</si>
  <si>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</si>
  <si>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</si>
  <si>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</si>
  <si>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</si>
  <si>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</si>
  <si>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</si>
  <si>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</si>
  <si>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</si>
  <si>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</si>
  <si>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</si>
  <si>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</si>
  <si>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</si>
  <si>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</si>
  <si>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</si>
  <si>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</si>
  <si>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</si>
  <si>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</si>
  <si>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</si>
  <si>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</si>
  <si>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</si>
  <si>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</si>
  <si>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</si>
  <si>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</si>
  <si>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</si>
  <si>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</si>
  <si>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</si>
  <si>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</si>
  <si>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</si>
  <si>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</si>
  <si>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</si>
  <si>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</si>
  <si>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</si>
  <si>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</si>
  <si>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</si>
  <si>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</si>
  <si>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</si>
  <si>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</si>
  <si>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</si>
  <si>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</si>
  <si>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</si>
  <si>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</si>
  <si>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</si>
  <si>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</si>
  <si>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</si>
  <si>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</si>
  <si>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</si>
  <si>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</si>
  <si>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</si>
  <si>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</si>
  <si>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</si>
  <si>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</si>
  <si>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</si>
  <si>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</si>
  <si>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</si>
  <si>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</si>
  <si>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</si>
  <si>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</si>
  <si>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</si>
  <si>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</si>
  <si>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</si>
  <si>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</si>
  <si>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</si>
  <si>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</si>
  <si>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</si>
  <si>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</si>
  <si>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</si>
  <si>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</si>
  <si>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</si>
  <si>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</si>
  <si>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</si>
  <si>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</si>
  <si>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</si>
  <si>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</si>
  <si>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</si>
  <si>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</si>
  <si>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</si>
  <si>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</si>
  <si>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</si>
  <si>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</si>
  <si>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</si>
  <si>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</si>
  <si>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</si>
  <si>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</si>
  <si>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</si>
  <si>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</si>
  <si>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</si>
  <si>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</si>
  <si>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</si>
  <si>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</si>
  <si>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</si>
  <si>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</si>
  <si>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</si>
  <si>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</si>
  <si>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</si>
  <si>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</si>
  <si>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</si>
  <si>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</t>
  </si>
  <si>
    <t>2017Q1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</si>
  <si>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</si>
  <si>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</si>
  <si>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</si>
  <si>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</si>
  <si>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</si>
  <si>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</si>
  <si>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</si>
  <si>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</si>
  <si>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</si>
  <si>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</si>
  <si>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</si>
  <si>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</si>
  <si>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</si>
  <si>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</si>
  <si>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</si>
  <si>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</si>
  <si>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</si>
  <si>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</si>
  <si>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</si>
  <si>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</si>
  <si>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</si>
  <si>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</si>
  <si>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</si>
  <si>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</si>
  <si>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</si>
  <si>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</si>
  <si>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</si>
  <si>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</si>
  <si>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</si>
  <si>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</si>
  <si>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</si>
  <si>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</si>
  <si>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</si>
  <si>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</si>
  <si>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</si>
  <si>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</si>
  <si>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</si>
  <si>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</si>
  <si>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</si>
  <si>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</si>
  <si>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</si>
  <si>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</si>
  <si>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</si>
  <si>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</si>
  <si>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</si>
  <si>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</si>
  <si>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</si>
  <si>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</si>
  <si>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</si>
  <si>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</si>
  <si>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</si>
  <si>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</si>
  <si>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</si>
  <si>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</si>
  <si>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</si>
  <si>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</si>
  <si>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</si>
  <si>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</si>
  <si>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</si>
  <si>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</si>
  <si>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</si>
  <si>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</si>
  <si>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</si>
  <si>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</si>
  <si>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</si>
  <si>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</si>
  <si>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</si>
  <si>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</si>
  <si>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</si>
  <si>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</si>
  <si>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</si>
  <si>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</si>
  <si>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</si>
  <si>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</si>
  <si>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</si>
  <si>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</si>
  <si>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</si>
  <si>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</si>
  <si>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</si>
  <si>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</si>
  <si>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</si>
  <si>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</si>
  <si>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</si>
  <si>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</si>
  <si>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</si>
  <si>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</si>
  <si>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</si>
  <si>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</si>
  <si>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</si>
  <si>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</si>
  <si>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</si>
  <si>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</si>
  <si>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</t>
  </si>
  <si>
    <t>2017Q2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</si>
  <si>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</si>
  <si>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</si>
  <si>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</si>
  <si>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</si>
  <si>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</si>
  <si>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</si>
  <si>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</si>
  <si>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</si>
  <si>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</si>
  <si>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</si>
  <si>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</si>
  <si>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</si>
  <si>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</si>
  <si>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</si>
  <si>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</si>
  <si>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</si>
  <si>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</si>
  <si>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</si>
  <si>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</si>
  <si>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</si>
  <si>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</si>
  <si>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</si>
  <si>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</si>
  <si>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</si>
  <si>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</si>
  <si>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</si>
  <si>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</si>
  <si>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</si>
  <si>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</si>
  <si>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</si>
  <si>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</si>
  <si>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</si>
  <si>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</si>
  <si>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</si>
  <si>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</si>
  <si>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</si>
  <si>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</si>
  <si>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</si>
  <si>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</si>
  <si>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</si>
  <si>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</si>
  <si>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</si>
  <si>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</si>
  <si>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</si>
  <si>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</si>
  <si>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</si>
  <si>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</si>
  <si>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</si>
  <si>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</si>
  <si>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</si>
  <si>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</si>
  <si>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</si>
  <si>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</si>
  <si>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</si>
  <si>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</si>
  <si>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</si>
  <si>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</si>
  <si>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</si>
  <si>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</si>
  <si>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</si>
  <si>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</si>
  <si>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</si>
  <si>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</si>
  <si>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</si>
  <si>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</si>
  <si>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</si>
  <si>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</si>
  <si>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</si>
  <si>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</si>
  <si>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</si>
  <si>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</si>
  <si>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</si>
  <si>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</si>
  <si>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</si>
  <si>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</si>
  <si>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</si>
  <si>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</si>
  <si>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</si>
  <si>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</si>
  <si>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</si>
  <si>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</si>
  <si>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</si>
  <si>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</si>
  <si>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</si>
  <si>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</si>
  <si>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</si>
  <si>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</si>
  <si>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</si>
  <si>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</si>
  <si>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</si>
  <si>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</si>
  <si>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</si>
  <si>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</si>
  <si>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</t>
  </si>
  <si>
    <t>2017Q3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</si>
  <si>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</si>
  <si>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</si>
  <si>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</si>
  <si>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</si>
  <si>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</si>
  <si>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</si>
  <si>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</si>
  <si>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</si>
  <si>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</si>
  <si>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</si>
  <si>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</si>
  <si>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</si>
  <si>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</si>
  <si>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</si>
  <si>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</si>
  <si>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</si>
  <si>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</si>
  <si>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</si>
  <si>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</si>
  <si>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</si>
  <si>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</si>
  <si>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</si>
  <si>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</si>
  <si>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</si>
  <si>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</si>
  <si>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</si>
  <si>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</si>
  <si>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</si>
  <si>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</si>
  <si>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</si>
  <si>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</si>
  <si>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</si>
  <si>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</si>
  <si>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</si>
  <si>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</si>
  <si>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</si>
  <si>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</si>
  <si>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</si>
  <si>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</si>
  <si>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</si>
  <si>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</si>
  <si>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</si>
  <si>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</si>
  <si>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</si>
  <si>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</si>
  <si>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</si>
  <si>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</si>
  <si>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</si>
  <si>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</si>
  <si>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</si>
  <si>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</si>
  <si>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</si>
  <si>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</si>
  <si>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</si>
  <si>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</si>
  <si>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</si>
  <si>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</si>
  <si>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</si>
  <si>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</si>
  <si>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</si>
  <si>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</si>
  <si>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</si>
  <si>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</si>
  <si>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</si>
  <si>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</si>
  <si>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</si>
  <si>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</si>
  <si>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</si>
  <si>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</si>
  <si>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</si>
  <si>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</si>
  <si>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</si>
  <si>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</si>
  <si>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</si>
  <si>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</si>
  <si>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</si>
  <si>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</si>
  <si>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</si>
  <si>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</si>
  <si>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</si>
  <si>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</si>
  <si>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</si>
  <si>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</si>
  <si>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</si>
  <si>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</si>
  <si>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</si>
  <si>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</si>
  <si>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</si>
  <si>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</si>
  <si>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</si>
  <si>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</si>
  <si>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</si>
  <si>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</si>
  <si>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</si>
  <si>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</t>
  </si>
  <si>
    <t>2017Q4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</si>
  <si>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</si>
  <si>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</si>
  <si>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</si>
  <si>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</si>
  <si>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</si>
  <si>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</si>
  <si>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</si>
  <si>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</si>
  <si>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</si>
  <si>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</si>
  <si>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</si>
  <si>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</si>
  <si>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</si>
  <si>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</si>
  <si>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</si>
  <si>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</si>
  <si>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</si>
  <si>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</si>
  <si>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</si>
  <si>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</si>
  <si>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</si>
  <si>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</si>
  <si>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</si>
  <si>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</si>
  <si>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</si>
  <si>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</si>
  <si>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</si>
  <si>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</si>
  <si>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</si>
  <si>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</si>
  <si>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</si>
  <si>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</si>
  <si>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</si>
  <si>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</si>
  <si>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</si>
  <si>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</si>
  <si>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</si>
  <si>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</si>
  <si>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</si>
  <si>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</si>
  <si>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</si>
  <si>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</si>
  <si>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</si>
  <si>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</si>
  <si>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</si>
  <si>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</si>
  <si>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</si>
  <si>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</si>
  <si>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</si>
  <si>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</si>
  <si>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</si>
  <si>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</si>
  <si>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</si>
  <si>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</si>
  <si>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</si>
  <si>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</si>
  <si>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</si>
  <si>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</si>
  <si>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</si>
  <si>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</si>
  <si>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</si>
  <si>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</si>
  <si>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</si>
  <si>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</si>
  <si>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</si>
  <si>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</si>
  <si>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</si>
  <si>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</si>
  <si>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</si>
  <si>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</si>
  <si>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</si>
  <si>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</si>
  <si>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</si>
  <si>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</si>
  <si>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</si>
  <si>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</si>
  <si>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</si>
  <si>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</si>
  <si>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</si>
  <si>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</si>
  <si>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</si>
  <si>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</si>
  <si>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</si>
  <si>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</si>
  <si>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</si>
  <si>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</si>
  <si>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</si>
  <si>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</si>
  <si>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</si>
  <si>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</si>
  <si>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</si>
  <si>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</si>
  <si>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</si>
  <si>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</si>
  <si>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</t>
  </si>
  <si>
    <t>2018Q1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</si>
  <si>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</si>
  <si>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</si>
  <si>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</si>
  <si>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</si>
  <si>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</si>
  <si>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</si>
  <si>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</si>
  <si>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</si>
  <si>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</si>
  <si>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</si>
  <si>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</si>
  <si>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</si>
  <si>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</si>
  <si>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</si>
  <si>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</si>
  <si>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</si>
  <si>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</si>
  <si>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</si>
  <si>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</si>
  <si>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</si>
  <si>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</si>
  <si>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</si>
  <si>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</si>
  <si>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</si>
  <si>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</si>
  <si>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</si>
  <si>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</si>
  <si>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</si>
  <si>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</si>
  <si>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</si>
  <si>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</si>
  <si>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</si>
  <si>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</si>
  <si>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</si>
  <si>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</si>
  <si>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</si>
  <si>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</si>
  <si>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</si>
  <si>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</si>
  <si>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</si>
  <si>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</si>
  <si>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</si>
  <si>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</si>
  <si>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</si>
  <si>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</si>
  <si>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</si>
  <si>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</si>
  <si>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</si>
  <si>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</si>
  <si>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</si>
  <si>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</si>
  <si>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</si>
  <si>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</si>
  <si>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</si>
  <si>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</si>
  <si>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</si>
  <si>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</si>
  <si>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</si>
  <si>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</si>
  <si>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</si>
  <si>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</si>
  <si>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</si>
  <si>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</si>
  <si>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</si>
  <si>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</si>
  <si>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</si>
  <si>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</si>
  <si>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</si>
  <si>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</si>
  <si>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</si>
  <si>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</si>
  <si>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</si>
  <si>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</si>
  <si>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</si>
  <si>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</si>
  <si>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</si>
  <si>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</si>
  <si>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</si>
  <si>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</si>
  <si>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</si>
  <si>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</si>
  <si>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</si>
  <si>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</si>
  <si>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</si>
  <si>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</si>
  <si>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</si>
  <si>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</si>
  <si>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</si>
  <si>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</si>
  <si>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</si>
  <si>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</si>
  <si>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</si>
  <si>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</t>
  </si>
  <si>
    <t>2018Q2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</si>
  <si>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</si>
  <si>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</si>
  <si>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</si>
  <si>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</si>
  <si>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</si>
  <si>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</si>
  <si>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</si>
  <si>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</si>
  <si>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</si>
  <si>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</si>
  <si>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</si>
  <si>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</si>
  <si>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</si>
  <si>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</si>
  <si>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</si>
  <si>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</si>
  <si>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</si>
  <si>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</si>
  <si>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</si>
  <si>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</si>
  <si>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</si>
  <si>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</si>
  <si>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</si>
  <si>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</si>
  <si>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</si>
  <si>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</si>
  <si>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</si>
  <si>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</si>
  <si>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</si>
  <si>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</si>
  <si>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</si>
  <si>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</si>
  <si>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</si>
  <si>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</si>
  <si>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</si>
  <si>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</si>
  <si>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</si>
  <si>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</si>
  <si>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</si>
  <si>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</si>
  <si>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</si>
  <si>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</si>
  <si>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</si>
  <si>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</si>
  <si>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</si>
  <si>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</si>
  <si>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</si>
  <si>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</si>
  <si>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</si>
  <si>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</si>
  <si>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</si>
  <si>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</si>
  <si>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</si>
  <si>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</si>
  <si>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</si>
  <si>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</si>
  <si>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</si>
  <si>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</si>
  <si>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</si>
  <si>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</si>
  <si>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</si>
  <si>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</si>
  <si>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</si>
  <si>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</si>
  <si>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</si>
  <si>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</si>
  <si>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</si>
  <si>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</si>
  <si>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</si>
  <si>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</si>
  <si>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</si>
  <si>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</si>
  <si>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</si>
  <si>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</si>
  <si>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</si>
  <si>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</si>
  <si>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</si>
  <si>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</si>
  <si>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</si>
  <si>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</si>
  <si>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</si>
  <si>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</si>
  <si>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</si>
  <si>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</si>
  <si>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</si>
  <si>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</si>
  <si>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</si>
  <si>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</si>
  <si>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</si>
  <si>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</si>
  <si>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</si>
  <si>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</si>
  <si>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</si>
  <si>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</t>
  </si>
  <si>
    <t>2018Q3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</si>
  <si>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</si>
  <si>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</si>
  <si>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</si>
  <si>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</si>
  <si>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</si>
  <si>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</si>
  <si>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</si>
  <si>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</si>
  <si>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</si>
  <si>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</si>
  <si>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</si>
  <si>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</si>
  <si>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</si>
  <si>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</si>
  <si>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</si>
  <si>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</si>
  <si>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</si>
  <si>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</si>
  <si>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</si>
  <si>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</si>
  <si>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</si>
  <si>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</si>
  <si>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</si>
  <si>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</si>
  <si>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</si>
  <si>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</si>
  <si>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</si>
  <si>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</si>
  <si>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</si>
  <si>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</si>
  <si>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</si>
  <si>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</si>
  <si>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</si>
  <si>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</si>
  <si>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</si>
  <si>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</si>
  <si>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</si>
  <si>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</si>
  <si>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</si>
  <si>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</si>
  <si>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</si>
  <si>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</si>
  <si>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</si>
  <si>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</si>
  <si>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</si>
  <si>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</si>
  <si>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</si>
  <si>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</si>
  <si>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</si>
  <si>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</si>
  <si>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</si>
  <si>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</si>
  <si>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</si>
  <si>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</si>
  <si>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</si>
  <si>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</si>
  <si>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</si>
  <si>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</si>
  <si>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</si>
  <si>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</si>
  <si>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</si>
  <si>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</si>
  <si>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</si>
  <si>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</si>
  <si>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</si>
  <si>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</si>
  <si>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</si>
  <si>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</si>
  <si>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</si>
  <si>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</si>
  <si>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</si>
  <si>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</si>
  <si>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</si>
  <si>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</si>
  <si>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</si>
  <si>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</si>
  <si>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</si>
  <si>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</si>
  <si>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</si>
  <si>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</si>
  <si>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</si>
  <si>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</si>
  <si>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</si>
  <si>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</si>
  <si>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</si>
  <si>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</si>
  <si>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</si>
  <si>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</si>
  <si>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</si>
  <si>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</si>
  <si>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</si>
  <si>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</si>
  <si>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</si>
  <si>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</si>
  <si>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</t>
  </si>
  <si>
    <t>2018Q4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</si>
  <si>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</si>
  <si>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</si>
  <si>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</si>
  <si>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</si>
  <si>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</si>
  <si>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</si>
  <si>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</si>
  <si>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</si>
  <si>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</si>
  <si>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</si>
  <si>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</si>
  <si>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</si>
  <si>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</si>
  <si>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</si>
  <si>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</si>
  <si>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</si>
  <si>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</si>
  <si>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</si>
  <si>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</si>
  <si>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</si>
  <si>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</si>
  <si>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</si>
  <si>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</si>
  <si>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</si>
  <si>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</si>
  <si>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</si>
  <si>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</si>
  <si>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</si>
  <si>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</si>
  <si>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</si>
  <si>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</si>
  <si>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</si>
  <si>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</si>
  <si>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</si>
  <si>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</si>
  <si>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</si>
  <si>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</si>
  <si>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</si>
  <si>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</si>
  <si>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</si>
  <si>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</si>
  <si>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</si>
  <si>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</si>
  <si>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</si>
  <si>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</si>
  <si>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</si>
  <si>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</si>
  <si>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</si>
  <si>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</si>
  <si>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</si>
  <si>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</si>
  <si>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</si>
  <si>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</si>
  <si>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</si>
  <si>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</si>
  <si>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</si>
  <si>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</si>
  <si>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</si>
  <si>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</si>
  <si>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</si>
  <si>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</si>
  <si>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</si>
  <si>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</si>
  <si>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</si>
  <si>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</si>
  <si>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</si>
  <si>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</si>
  <si>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</si>
  <si>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</si>
  <si>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</si>
  <si>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</si>
  <si>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</si>
  <si>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</si>
  <si>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</si>
  <si>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</si>
  <si>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</si>
  <si>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</si>
  <si>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</si>
  <si>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</si>
  <si>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</si>
  <si>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</si>
  <si>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</si>
  <si>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</si>
  <si>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</si>
  <si>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</si>
  <si>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</si>
  <si>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</si>
  <si>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</si>
  <si>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</si>
  <si>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</si>
  <si>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</si>
  <si>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</si>
  <si>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</si>
  <si>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</si>
  <si>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</t>
  </si>
  <si>
    <t>2019Q1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</si>
  <si>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</si>
  <si>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</si>
  <si>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</si>
  <si>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</si>
  <si>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</si>
  <si>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</si>
  <si>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</si>
  <si>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</si>
  <si>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</si>
  <si>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</si>
  <si>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</si>
  <si>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</si>
  <si>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</si>
  <si>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</si>
  <si>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</si>
  <si>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</si>
  <si>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</si>
  <si>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</si>
  <si>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</si>
  <si>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</si>
  <si>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</si>
  <si>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</si>
  <si>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</si>
  <si>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</si>
  <si>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</si>
  <si>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</si>
  <si>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</si>
  <si>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</si>
  <si>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</si>
  <si>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</si>
  <si>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</si>
  <si>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</si>
  <si>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</si>
  <si>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</si>
  <si>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</si>
  <si>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</si>
  <si>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</si>
  <si>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</si>
  <si>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</si>
  <si>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</si>
  <si>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</si>
  <si>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</si>
  <si>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</si>
  <si>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</si>
  <si>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</si>
  <si>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</si>
  <si>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</si>
  <si>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</si>
  <si>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</si>
  <si>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</si>
  <si>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</si>
  <si>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</si>
  <si>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</si>
  <si>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</si>
  <si>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</si>
  <si>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</si>
  <si>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</si>
  <si>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</si>
  <si>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</si>
  <si>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</si>
  <si>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</si>
  <si>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</si>
  <si>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</si>
  <si>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</si>
  <si>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</si>
  <si>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</si>
  <si>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</si>
  <si>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</si>
  <si>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</si>
  <si>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</si>
  <si>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</si>
  <si>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</si>
  <si>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</si>
  <si>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</si>
  <si>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</si>
  <si>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</si>
  <si>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</si>
  <si>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</si>
  <si>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</si>
  <si>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</si>
  <si>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</si>
  <si>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</si>
  <si>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</si>
  <si>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</si>
  <si>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</si>
  <si>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</si>
  <si>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</si>
  <si>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</si>
  <si>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</si>
  <si>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</si>
  <si>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</si>
  <si>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</si>
  <si>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</t>
  </si>
  <si>
    <t>2019Q2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</si>
  <si>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</si>
  <si>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</si>
  <si>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</si>
  <si>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</si>
  <si>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</si>
  <si>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</si>
  <si>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</si>
  <si>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</si>
  <si>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</si>
  <si>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</si>
  <si>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</si>
  <si>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</si>
  <si>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</si>
  <si>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</si>
  <si>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</si>
  <si>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</si>
  <si>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</si>
  <si>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</si>
  <si>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</si>
  <si>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</si>
  <si>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</si>
  <si>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</si>
  <si>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</si>
  <si>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</si>
  <si>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</si>
  <si>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</si>
  <si>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</si>
  <si>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</si>
  <si>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</si>
  <si>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</si>
  <si>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</si>
  <si>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</si>
  <si>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</si>
  <si>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</si>
  <si>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</si>
  <si>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</si>
  <si>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</si>
  <si>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</si>
  <si>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</si>
  <si>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</si>
  <si>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</si>
  <si>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</si>
  <si>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</si>
  <si>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</si>
  <si>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</si>
  <si>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</si>
  <si>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</si>
  <si>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</si>
  <si>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</si>
  <si>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</si>
  <si>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</si>
  <si>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</si>
  <si>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</si>
  <si>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</si>
  <si>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</si>
  <si>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</si>
  <si>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</si>
  <si>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</si>
  <si>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</si>
  <si>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</si>
  <si>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</si>
  <si>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</si>
  <si>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</si>
  <si>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</si>
  <si>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</si>
  <si>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</si>
  <si>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</si>
  <si>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</si>
  <si>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</si>
  <si>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</si>
  <si>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</si>
  <si>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</si>
  <si>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</si>
  <si>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</si>
  <si>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</si>
  <si>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</si>
  <si>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</si>
  <si>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</si>
  <si>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</si>
  <si>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</si>
  <si>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</si>
  <si>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</si>
  <si>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</si>
  <si>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</si>
  <si>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</si>
  <si>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</si>
  <si>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</si>
  <si>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</si>
  <si>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</si>
  <si>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</si>
  <si>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</si>
  <si>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</si>
  <si>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</si>
  <si>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</t>
  </si>
  <si>
    <t>2019Q3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</si>
  <si>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</si>
  <si>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</si>
  <si>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</si>
  <si>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</si>
  <si>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</si>
  <si>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</si>
  <si>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</si>
  <si>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</si>
  <si>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</si>
  <si>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</si>
  <si>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</si>
  <si>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</si>
  <si>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</si>
  <si>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</si>
  <si>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</si>
  <si>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</si>
  <si>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</si>
  <si>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</si>
  <si>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</si>
  <si>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</si>
  <si>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</si>
  <si>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</si>
  <si>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</si>
  <si>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</si>
  <si>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</si>
  <si>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</si>
  <si>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</si>
  <si>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</si>
  <si>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</si>
  <si>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</si>
  <si>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</si>
  <si>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</si>
  <si>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</si>
  <si>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</si>
  <si>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</si>
  <si>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</si>
  <si>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</si>
  <si>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</si>
  <si>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</si>
  <si>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</si>
  <si>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</si>
  <si>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</si>
  <si>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</si>
  <si>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</si>
  <si>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</si>
  <si>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</si>
  <si>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</si>
  <si>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</si>
  <si>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</si>
  <si>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</si>
  <si>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</si>
  <si>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</si>
  <si>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</si>
  <si>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</si>
  <si>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</si>
  <si>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</si>
  <si>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</si>
  <si>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</si>
  <si>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</si>
  <si>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</si>
  <si>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</si>
  <si>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</si>
  <si>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</si>
  <si>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</si>
  <si>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</si>
  <si>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</si>
  <si>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</si>
  <si>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</si>
  <si>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</si>
  <si>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</si>
  <si>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</si>
  <si>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</si>
  <si>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</si>
  <si>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</si>
  <si>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</si>
  <si>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</si>
  <si>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</si>
  <si>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</si>
  <si>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</si>
  <si>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</si>
  <si>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</si>
  <si>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</si>
  <si>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</si>
  <si>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</si>
  <si>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</si>
  <si>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</si>
  <si>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</si>
  <si>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</si>
  <si>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</si>
  <si>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</si>
  <si>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</si>
  <si>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</si>
  <si>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</si>
  <si>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</si>
  <si>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</t>
  </si>
  <si>
    <t>2019Q4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</si>
  <si>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</si>
  <si>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</si>
  <si>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</si>
  <si>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</si>
  <si>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</si>
  <si>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</si>
  <si>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</si>
  <si>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</si>
  <si>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</si>
  <si>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</si>
  <si>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</si>
  <si>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</si>
  <si>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</si>
  <si>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</si>
  <si>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</si>
  <si>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</si>
  <si>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</si>
  <si>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</si>
  <si>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</si>
  <si>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</si>
  <si>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</si>
  <si>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</si>
  <si>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</si>
  <si>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</si>
  <si>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</si>
  <si>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</si>
  <si>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</si>
  <si>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</si>
  <si>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</si>
  <si>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</si>
  <si>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</si>
  <si>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</si>
  <si>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</si>
  <si>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</si>
  <si>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</si>
  <si>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</si>
  <si>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</si>
  <si>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</si>
  <si>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</si>
  <si>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</si>
  <si>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</si>
  <si>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</si>
  <si>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</si>
  <si>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</si>
  <si>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</si>
  <si>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</si>
  <si>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</si>
  <si>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</si>
  <si>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</si>
  <si>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</si>
  <si>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</si>
  <si>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</si>
  <si>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</si>
  <si>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</si>
  <si>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</si>
  <si>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</si>
  <si>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</si>
  <si>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</si>
  <si>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</si>
  <si>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</si>
  <si>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</si>
  <si>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</si>
  <si>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</si>
  <si>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</si>
  <si>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</si>
  <si>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</si>
  <si>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</si>
  <si>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</si>
  <si>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</si>
  <si>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</si>
  <si>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</si>
  <si>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</si>
  <si>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</si>
  <si>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</si>
  <si>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</si>
  <si>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</si>
  <si>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</si>
  <si>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</si>
  <si>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</si>
  <si>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</si>
  <si>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</si>
  <si>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</si>
  <si>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</si>
  <si>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</si>
  <si>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</si>
  <si>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</si>
  <si>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</si>
  <si>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</si>
  <si>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</si>
  <si>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</si>
  <si>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</si>
  <si>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</si>
  <si>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</si>
  <si>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</si>
  <si>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</t>
  </si>
  <si>
    <t>2020Q1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</si>
  <si>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</si>
  <si>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</si>
  <si>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</si>
  <si>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</si>
  <si>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</si>
  <si>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</si>
  <si>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</si>
  <si>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</si>
  <si>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</si>
  <si>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</si>
  <si>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</si>
  <si>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</si>
  <si>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</si>
  <si>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</si>
  <si>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</si>
  <si>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</si>
  <si>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</si>
  <si>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</si>
  <si>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</si>
  <si>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</si>
  <si>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</si>
  <si>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</si>
  <si>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</si>
  <si>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</si>
  <si>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</si>
  <si>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</si>
  <si>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</si>
  <si>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</si>
  <si>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</si>
  <si>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</si>
  <si>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</si>
  <si>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</si>
  <si>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</si>
  <si>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</si>
  <si>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</si>
  <si>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</si>
  <si>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</si>
  <si>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</si>
  <si>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</si>
  <si>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</si>
  <si>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</si>
  <si>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</si>
  <si>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</si>
  <si>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</si>
  <si>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</si>
  <si>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</si>
  <si>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</si>
  <si>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</si>
  <si>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</si>
  <si>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</si>
  <si>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</si>
  <si>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</si>
  <si>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</si>
  <si>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</si>
  <si>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</si>
  <si>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</si>
  <si>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</si>
  <si>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</si>
  <si>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</si>
  <si>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</si>
  <si>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</si>
  <si>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</si>
  <si>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</si>
  <si>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</si>
  <si>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</si>
  <si>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</si>
  <si>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</si>
  <si>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</si>
  <si>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</si>
  <si>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</si>
  <si>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</si>
  <si>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</si>
  <si>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</si>
  <si>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</si>
  <si>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</si>
  <si>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</si>
  <si>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</si>
  <si>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</si>
  <si>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</si>
  <si>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</si>
  <si>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</si>
  <si>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</si>
  <si>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</si>
  <si>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</si>
  <si>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</si>
  <si>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</si>
  <si>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</si>
  <si>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</si>
  <si>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</si>
  <si>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</si>
  <si>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</si>
  <si>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</si>
  <si>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</si>
  <si>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</t>
  </si>
  <si>
    <t>2020Q2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</si>
  <si>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</si>
  <si>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</si>
  <si>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</si>
  <si>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</si>
  <si>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</si>
  <si>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</si>
  <si>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</si>
  <si>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</si>
  <si>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</si>
  <si>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</si>
  <si>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</si>
  <si>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</si>
  <si>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</si>
  <si>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</si>
  <si>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</si>
  <si>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</si>
  <si>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</si>
  <si>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</si>
  <si>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</si>
  <si>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</si>
  <si>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</si>
  <si>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</si>
  <si>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</si>
  <si>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</si>
  <si>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</si>
  <si>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</si>
  <si>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</si>
  <si>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</si>
  <si>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</si>
  <si>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</si>
  <si>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</si>
  <si>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</si>
  <si>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</si>
  <si>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</si>
  <si>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</si>
  <si>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</si>
  <si>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</si>
  <si>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</si>
  <si>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</si>
  <si>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</si>
  <si>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</si>
  <si>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</si>
  <si>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</si>
  <si>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</si>
  <si>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</si>
  <si>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</si>
  <si>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</si>
  <si>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</si>
  <si>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</si>
  <si>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</si>
  <si>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</si>
  <si>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</si>
  <si>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</si>
  <si>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</si>
  <si>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</si>
  <si>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</si>
  <si>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</si>
  <si>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</si>
  <si>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</si>
  <si>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</si>
  <si>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</si>
  <si>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</si>
  <si>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</si>
  <si>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</si>
  <si>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</si>
  <si>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</si>
  <si>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</si>
  <si>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</si>
  <si>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</si>
  <si>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</si>
  <si>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</si>
  <si>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</si>
  <si>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</si>
  <si>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</si>
  <si>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</si>
  <si>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</si>
  <si>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</si>
  <si>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</si>
  <si>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</si>
  <si>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</si>
  <si>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</si>
  <si>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</si>
  <si>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</si>
  <si>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</si>
  <si>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</si>
  <si>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</si>
  <si>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</si>
  <si>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</si>
  <si>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</si>
  <si>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</si>
  <si>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</si>
  <si>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</si>
  <si>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</si>
  <si>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</t>
  </si>
  <si>
    <t>2020Q3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</si>
  <si>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</si>
  <si>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</si>
  <si>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</si>
  <si>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</si>
  <si>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</si>
  <si>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</si>
  <si>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</si>
  <si>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</si>
  <si>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</si>
  <si>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</si>
  <si>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</si>
  <si>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</si>
  <si>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</si>
  <si>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</si>
  <si>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</si>
  <si>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</si>
  <si>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</si>
  <si>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</si>
  <si>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</si>
  <si>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</si>
  <si>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</si>
  <si>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</si>
  <si>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</si>
  <si>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</si>
  <si>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</si>
  <si>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</si>
  <si>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</si>
  <si>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</si>
  <si>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</si>
  <si>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</si>
  <si>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</si>
  <si>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</si>
  <si>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</si>
  <si>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</si>
  <si>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</si>
  <si>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</si>
  <si>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</si>
  <si>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</si>
  <si>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</si>
  <si>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</si>
  <si>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</si>
  <si>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</si>
  <si>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</si>
  <si>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</si>
  <si>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</si>
  <si>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</si>
  <si>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</si>
  <si>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</si>
  <si>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</si>
  <si>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</si>
  <si>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</si>
  <si>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</si>
  <si>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</si>
  <si>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</si>
  <si>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</si>
  <si>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</si>
  <si>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</si>
  <si>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</si>
  <si>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</si>
  <si>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</si>
  <si>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</si>
  <si>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</si>
  <si>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</si>
  <si>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</si>
  <si>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</si>
  <si>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</si>
  <si>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</si>
  <si>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</si>
  <si>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</si>
  <si>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</si>
  <si>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</si>
  <si>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</si>
  <si>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</si>
  <si>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</si>
  <si>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</si>
  <si>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</si>
  <si>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</si>
  <si>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</si>
  <si>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</si>
  <si>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</si>
  <si>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</si>
  <si>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</si>
  <si>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</si>
  <si>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</si>
  <si>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</si>
  <si>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</si>
  <si>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</si>
  <si>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</si>
  <si>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</si>
  <si>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</si>
  <si>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</si>
  <si>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</si>
  <si>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</si>
  <si>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</si>
  <si>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</t>
  </si>
  <si>
    <t>2020Q4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</si>
  <si>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</si>
  <si>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</si>
  <si>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</si>
  <si>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</si>
  <si>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</si>
  <si>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</si>
  <si>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</si>
  <si>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</si>
  <si>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</si>
  <si>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</si>
  <si>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</si>
  <si>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</si>
  <si>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</si>
  <si>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</si>
  <si>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</si>
  <si>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</si>
  <si>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</si>
  <si>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</si>
  <si>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</si>
  <si>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</si>
  <si>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</si>
  <si>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</si>
  <si>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</si>
  <si>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</si>
  <si>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</si>
  <si>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</si>
  <si>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</si>
  <si>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</si>
  <si>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</si>
  <si>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</si>
  <si>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</si>
  <si>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</si>
  <si>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</si>
  <si>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</si>
  <si>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</si>
  <si>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</si>
  <si>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</si>
  <si>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</si>
  <si>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</si>
  <si>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</si>
  <si>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</si>
  <si>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</si>
  <si>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</si>
  <si>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</si>
  <si>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</si>
  <si>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</si>
  <si>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</si>
  <si>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</si>
  <si>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</si>
  <si>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</si>
  <si>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</si>
  <si>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</si>
  <si>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</si>
  <si>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</si>
  <si>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</si>
  <si>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</si>
  <si>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</si>
  <si>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</si>
  <si>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</si>
  <si>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</si>
  <si>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</si>
  <si>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</si>
  <si>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</si>
  <si>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</si>
  <si>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</si>
  <si>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</si>
  <si>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</si>
  <si>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</si>
  <si>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</si>
  <si>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</si>
  <si>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</si>
  <si>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</si>
  <si>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</si>
  <si>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</si>
  <si>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</si>
  <si>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</si>
  <si>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</si>
  <si>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</si>
  <si>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</si>
  <si>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</si>
  <si>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</si>
  <si>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</si>
  <si>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</si>
  <si>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</si>
  <si>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</si>
  <si>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</si>
  <si>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</si>
  <si>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</si>
  <si>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</si>
  <si>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</si>
  <si>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</si>
  <si>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</si>
  <si>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</si>
  <si>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</si>
  <si>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</t>
  </si>
  <si>
    <t>2021Q1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</si>
  <si>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</si>
  <si>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</si>
  <si>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</si>
  <si>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</si>
  <si>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</si>
  <si>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</si>
  <si>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</si>
  <si>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</si>
  <si>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</si>
  <si>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</si>
  <si>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</si>
  <si>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</si>
  <si>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</si>
  <si>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</si>
  <si>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</si>
  <si>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</si>
  <si>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</si>
  <si>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</si>
  <si>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</si>
  <si>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</si>
  <si>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</si>
  <si>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</si>
  <si>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</si>
  <si>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</si>
  <si>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</si>
  <si>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</si>
  <si>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</si>
  <si>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</si>
  <si>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</si>
  <si>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</si>
  <si>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</si>
  <si>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</si>
  <si>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</si>
  <si>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</si>
  <si>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</si>
  <si>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</si>
  <si>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</si>
  <si>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</si>
  <si>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</si>
  <si>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</si>
  <si>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</si>
  <si>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</si>
  <si>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</si>
  <si>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</si>
  <si>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</si>
  <si>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</si>
  <si>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</si>
  <si>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</si>
  <si>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</si>
  <si>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</si>
  <si>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</si>
  <si>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</si>
  <si>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</si>
  <si>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</si>
  <si>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</si>
  <si>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</si>
  <si>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</si>
  <si>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</si>
  <si>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</si>
  <si>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</si>
  <si>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</si>
  <si>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</si>
  <si>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</si>
  <si>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</si>
  <si>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</si>
  <si>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</si>
  <si>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</si>
  <si>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</si>
  <si>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</si>
  <si>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</si>
  <si>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</si>
  <si>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</si>
  <si>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</si>
  <si>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</si>
  <si>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</si>
  <si>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</si>
  <si>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</si>
  <si>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</si>
  <si>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</si>
  <si>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</si>
  <si>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</si>
  <si>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</si>
  <si>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</si>
  <si>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</si>
  <si>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</si>
  <si>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</si>
  <si>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</si>
  <si>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</si>
  <si>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</si>
  <si>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</si>
  <si>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</si>
  <si>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</si>
  <si>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</t>
  </si>
  <si>
    <t>2021Q2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</si>
  <si>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</si>
  <si>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</si>
  <si>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</si>
  <si>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</si>
  <si>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</si>
  <si>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</si>
  <si>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</si>
  <si>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</si>
  <si>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</si>
  <si>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</si>
  <si>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</si>
  <si>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</si>
  <si>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</si>
  <si>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</si>
  <si>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</si>
  <si>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</si>
  <si>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</si>
  <si>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</si>
  <si>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</si>
  <si>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</si>
  <si>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</si>
  <si>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</si>
  <si>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</si>
  <si>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</si>
  <si>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</si>
  <si>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</si>
  <si>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</si>
  <si>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</si>
  <si>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</si>
  <si>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</si>
  <si>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</si>
  <si>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</si>
  <si>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</si>
  <si>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</si>
  <si>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</si>
  <si>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</si>
  <si>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</si>
  <si>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</si>
  <si>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</si>
  <si>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</si>
  <si>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</si>
  <si>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</si>
  <si>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</si>
  <si>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</si>
  <si>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</si>
  <si>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</si>
  <si>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</si>
  <si>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</si>
  <si>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</si>
  <si>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</si>
  <si>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</si>
  <si>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</si>
  <si>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</si>
  <si>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</si>
  <si>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</si>
  <si>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</si>
  <si>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</si>
  <si>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</si>
  <si>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</si>
  <si>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</si>
  <si>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</si>
  <si>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</si>
  <si>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</si>
  <si>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</si>
  <si>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</si>
  <si>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</si>
  <si>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</si>
  <si>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</si>
  <si>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</si>
  <si>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</si>
  <si>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</si>
  <si>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</si>
  <si>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</si>
  <si>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</si>
  <si>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</si>
  <si>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</si>
  <si>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</si>
  <si>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</si>
  <si>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</si>
  <si>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</si>
  <si>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</si>
  <si>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</si>
  <si>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</si>
  <si>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</si>
  <si>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</si>
  <si>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</si>
  <si>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</si>
  <si>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</si>
  <si>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</si>
  <si>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</si>
  <si>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</si>
  <si>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</si>
  <si>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</si>
  <si>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</t>
  </si>
  <si>
    <t>2021Q3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</si>
  <si>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</si>
  <si>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</si>
  <si>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</si>
  <si>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</si>
  <si>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</si>
  <si>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</si>
  <si>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</si>
  <si>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</si>
  <si>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</si>
  <si>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</si>
  <si>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</si>
  <si>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</si>
  <si>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</si>
  <si>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</si>
  <si>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</si>
  <si>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</si>
  <si>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</si>
  <si>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</si>
  <si>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</si>
  <si>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</si>
  <si>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</si>
  <si>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</si>
  <si>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</si>
  <si>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</si>
  <si>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</si>
  <si>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</si>
  <si>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</si>
  <si>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</si>
  <si>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</si>
  <si>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</si>
  <si>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</si>
  <si>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</si>
  <si>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</si>
  <si>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</si>
  <si>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</si>
  <si>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</si>
  <si>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</si>
  <si>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</si>
  <si>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</si>
  <si>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</si>
  <si>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</si>
  <si>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</si>
  <si>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</si>
  <si>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</si>
  <si>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</si>
  <si>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</si>
  <si>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</si>
  <si>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</si>
  <si>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</si>
  <si>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</si>
  <si>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</si>
  <si>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</si>
  <si>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</si>
  <si>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</si>
  <si>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</si>
  <si>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</si>
  <si>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</si>
  <si>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</si>
  <si>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</si>
  <si>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</si>
  <si>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</si>
  <si>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</si>
  <si>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</si>
  <si>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</si>
  <si>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</si>
  <si>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</si>
  <si>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</si>
  <si>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</si>
  <si>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</si>
  <si>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</si>
  <si>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</si>
  <si>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</si>
  <si>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</si>
  <si>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</si>
  <si>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</si>
  <si>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</si>
  <si>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</si>
  <si>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</si>
  <si>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</si>
  <si>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</si>
  <si>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</si>
  <si>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</si>
  <si>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</si>
  <si>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</si>
  <si>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</si>
  <si>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</si>
  <si>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</si>
  <si>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</si>
  <si>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</si>
  <si>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</si>
  <si>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</si>
  <si>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</si>
  <si>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</si>
  <si>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</si>
  <si>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</t>
  </si>
  <si>
    <t>2021Q4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</si>
  <si>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</si>
  <si>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</si>
  <si>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</si>
  <si>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</si>
  <si>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</si>
  <si>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</si>
  <si>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</si>
  <si>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</si>
  <si>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</si>
  <si>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</si>
  <si>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</si>
  <si>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</si>
  <si>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</si>
  <si>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</si>
  <si>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</si>
  <si>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</si>
  <si>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</si>
  <si>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</si>
  <si>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</si>
  <si>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</si>
  <si>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</si>
  <si>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</si>
  <si>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</si>
  <si>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</si>
  <si>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</si>
  <si>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</si>
  <si>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</si>
  <si>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</si>
  <si>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</si>
  <si>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</si>
  <si>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</si>
  <si>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</si>
  <si>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</si>
  <si>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</si>
  <si>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</si>
  <si>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</si>
  <si>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</si>
  <si>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</si>
  <si>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</si>
  <si>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</si>
  <si>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</si>
  <si>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</si>
  <si>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</si>
  <si>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</si>
  <si>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</si>
  <si>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</si>
  <si>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</si>
  <si>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</si>
  <si>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</si>
  <si>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</si>
  <si>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</si>
  <si>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</si>
  <si>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</si>
  <si>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</si>
  <si>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</si>
  <si>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</si>
  <si>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</si>
  <si>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</si>
  <si>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</si>
  <si>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</si>
  <si>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</si>
  <si>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</si>
  <si>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</si>
  <si>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</si>
  <si>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</si>
  <si>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</si>
  <si>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</si>
  <si>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</si>
  <si>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</si>
  <si>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</si>
  <si>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</si>
  <si>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</si>
  <si>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</si>
  <si>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</si>
  <si>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</si>
  <si>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</si>
  <si>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</si>
  <si>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</si>
  <si>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</si>
  <si>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</si>
  <si>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</si>
  <si>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</si>
  <si>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</si>
  <si>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</si>
  <si>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</si>
  <si>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</si>
  <si>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</si>
  <si>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</si>
  <si>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</si>
  <si>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</si>
  <si>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</si>
  <si>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</si>
  <si>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</si>
  <si>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</si>
  <si>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</t>
  </si>
  <si>
    <t>2022Q1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</si>
  <si>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</si>
  <si>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</si>
  <si>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</si>
  <si>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</si>
  <si>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</si>
  <si>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</si>
  <si>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</si>
  <si>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</si>
  <si>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</si>
  <si>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</si>
  <si>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</si>
  <si>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</si>
  <si>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</si>
  <si>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</si>
  <si>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</si>
  <si>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</si>
  <si>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</si>
  <si>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</si>
  <si>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</si>
  <si>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</si>
  <si>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</si>
  <si>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</si>
  <si>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</si>
  <si>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</si>
  <si>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</si>
  <si>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</si>
  <si>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</si>
  <si>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</si>
  <si>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</si>
  <si>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</si>
  <si>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</si>
  <si>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</si>
  <si>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</si>
  <si>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</si>
  <si>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</si>
  <si>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</si>
  <si>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</si>
  <si>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</si>
  <si>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</si>
  <si>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</si>
  <si>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</si>
  <si>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</si>
  <si>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</si>
  <si>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</si>
  <si>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</si>
  <si>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</si>
  <si>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</si>
  <si>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</si>
  <si>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</si>
  <si>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</si>
  <si>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</si>
  <si>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</si>
  <si>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</si>
  <si>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</si>
  <si>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</si>
  <si>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</si>
  <si>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</si>
  <si>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</si>
  <si>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</si>
  <si>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</si>
  <si>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</si>
  <si>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</si>
  <si>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</si>
  <si>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</si>
  <si>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</si>
  <si>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</si>
  <si>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</si>
  <si>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</si>
  <si>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</si>
  <si>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</si>
  <si>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</si>
  <si>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</si>
  <si>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</si>
  <si>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</si>
  <si>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</si>
  <si>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</si>
  <si>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</si>
  <si>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</si>
  <si>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</si>
  <si>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</si>
  <si>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</si>
  <si>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</si>
  <si>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</si>
  <si>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</si>
  <si>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</si>
  <si>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</si>
  <si>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</si>
  <si>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</si>
  <si>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</si>
  <si>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</si>
  <si>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</si>
  <si>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</si>
  <si>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</t>
  </si>
  <si>
    <t>2022Q2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</si>
  <si>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</si>
  <si>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</si>
  <si>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</si>
  <si>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</si>
  <si>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</si>
  <si>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</si>
  <si>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</si>
  <si>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</si>
  <si>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</si>
  <si>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</si>
  <si>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</si>
  <si>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</si>
  <si>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</si>
  <si>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</si>
  <si>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</si>
  <si>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</si>
  <si>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</si>
  <si>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</si>
  <si>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</si>
  <si>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</si>
  <si>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</si>
  <si>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</si>
  <si>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</si>
  <si>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</si>
  <si>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</si>
  <si>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</si>
  <si>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</si>
  <si>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</si>
  <si>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</si>
  <si>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</si>
  <si>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</si>
  <si>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</si>
  <si>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</si>
  <si>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</si>
  <si>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</si>
  <si>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</si>
  <si>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</si>
  <si>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</si>
  <si>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</si>
  <si>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</si>
  <si>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</si>
  <si>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</si>
  <si>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</si>
  <si>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</si>
  <si>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</si>
  <si>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</si>
  <si>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</si>
  <si>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</si>
  <si>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</si>
  <si>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</si>
  <si>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</si>
  <si>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</si>
  <si>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</si>
  <si>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</si>
  <si>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</si>
  <si>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</si>
  <si>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</si>
  <si>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</si>
  <si>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</si>
  <si>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</si>
  <si>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</si>
  <si>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</si>
  <si>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</si>
  <si>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</si>
  <si>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</si>
  <si>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</si>
  <si>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</si>
  <si>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</si>
  <si>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</si>
  <si>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</si>
  <si>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</si>
  <si>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</si>
  <si>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</si>
  <si>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</si>
  <si>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</si>
  <si>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</si>
  <si>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</si>
  <si>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</si>
  <si>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</si>
  <si>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</si>
  <si>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</si>
  <si>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</si>
  <si>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</si>
  <si>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</si>
  <si>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</si>
  <si>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</si>
  <si>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</si>
  <si>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</si>
  <si>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</si>
  <si>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</si>
  <si>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</si>
  <si>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</si>
  <si>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</si>
  <si>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</t>
  </si>
  <si>
    <t>2022Q3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</si>
  <si>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</si>
  <si>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</si>
  <si>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</si>
  <si>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</si>
  <si>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</si>
  <si>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</si>
  <si>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</si>
  <si>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</si>
  <si>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</si>
  <si>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</si>
  <si>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</si>
  <si>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</si>
  <si>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</si>
  <si>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</si>
  <si>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</si>
  <si>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</si>
  <si>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</si>
  <si>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</si>
  <si>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</si>
  <si>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</si>
  <si>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</si>
  <si>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</si>
  <si>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</si>
  <si>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</si>
  <si>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</si>
  <si>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</si>
  <si>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</si>
  <si>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</si>
  <si>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</si>
  <si>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</si>
  <si>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</si>
  <si>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</si>
  <si>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</si>
  <si>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</si>
  <si>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</si>
  <si>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</si>
  <si>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</si>
  <si>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</si>
  <si>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</si>
  <si>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</si>
  <si>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</si>
  <si>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</si>
  <si>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</si>
  <si>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</si>
  <si>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</si>
  <si>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</si>
  <si>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</si>
  <si>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</si>
  <si>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</si>
  <si>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</si>
  <si>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</si>
  <si>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</si>
  <si>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</si>
  <si>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</si>
  <si>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</si>
  <si>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</si>
  <si>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</si>
  <si>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</si>
  <si>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</si>
  <si>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</si>
  <si>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</si>
  <si>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</si>
  <si>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</si>
  <si>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</si>
  <si>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</si>
  <si>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</si>
  <si>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</si>
  <si>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</si>
  <si>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</si>
  <si>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</si>
  <si>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</si>
  <si>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</si>
  <si>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</si>
  <si>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</si>
  <si>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</si>
  <si>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</si>
  <si>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</si>
  <si>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</si>
  <si>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</si>
  <si>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</si>
  <si>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</si>
  <si>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</si>
  <si>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</si>
  <si>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</si>
  <si>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</si>
  <si>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</si>
  <si>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</si>
  <si>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</si>
  <si>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</si>
  <si>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</si>
  <si>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</si>
  <si>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</si>
  <si>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</si>
  <si>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</si>
  <si>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</t>
  </si>
  <si>
    <t>2022Q4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</si>
  <si>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</si>
  <si>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</si>
  <si>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</si>
  <si>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</si>
  <si>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</si>
  <si>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</si>
  <si>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</si>
  <si>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</si>
  <si>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</si>
  <si>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</si>
  <si>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</si>
  <si>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</si>
  <si>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</si>
  <si>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</si>
  <si>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</si>
  <si>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</si>
  <si>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</si>
  <si>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</si>
  <si>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</si>
  <si>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</si>
  <si>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</si>
  <si>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</si>
  <si>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</si>
  <si>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</si>
  <si>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</si>
  <si>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</si>
  <si>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</si>
  <si>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</si>
  <si>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</si>
  <si>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</si>
  <si>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</si>
  <si>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</si>
  <si>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</si>
  <si>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</si>
  <si>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</si>
  <si>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</si>
  <si>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</si>
  <si>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</si>
  <si>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</si>
  <si>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</si>
  <si>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</si>
  <si>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</si>
  <si>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</si>
  <si>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</si>
  <si>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</si>
  <si>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</si>
  <si>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</si>
  <si>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</si>
  <si>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</si>
  <si>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</si>
  <si>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</si>
  <si>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</si>
  <si>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</si>
  <si>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</si>
  <si>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</si>
  <si>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</si>
  <si>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</si>
  <si>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</si>
  <si>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</si>
  <si>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</si>
  <si>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</si>
  <si>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</si>
  <si>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</si>
  <si>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</si>
  <si>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</si>
  <si>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</si>
  <si>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</si>
  <si>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</si>
  <si>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</si>
  <si>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</si>
  <si>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</si>
  <si>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</si>
  <si>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</si>
  <si>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</si>
  <si>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</si>
  <si>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</si>
  <si>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</si>
  <si>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</si>
  <si>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</si>
  <si>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</si>
  <si>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</si>
  <si>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</si>
  <si>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</si>
  <si>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</si>
  <si>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</si>
  <si>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</si>
  <si>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</si>
  <si>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</si>
  <si>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</si>
  <si>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</si>
  <si>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</si>
  <si>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</si>
  <si>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</si>
  <si>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</si>
  <si>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</t>
  </si>
  <si>
    <t>2023Q1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</si>
  <si>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</si>
  <si>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</si>
  <si>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</si>
  <si>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</si>
  <si>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</si>
  <si>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</si>
  <si>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</si>
  <si>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</si>
  <si>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</si>
  <si>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</si>
  <si>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</si>
  <si>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</si>
  <si>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</si>
  <si>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</si>
  <si>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</si>
  <si>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</si>
  <si>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</si>
  <si>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</si>
  <si>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</si>
  <si>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</si>
  <si>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</si>
  <si>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</si>
  <si>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</si>
  <si>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</si>
  <si>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</si>
  <si>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</si>
  <si>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</si>
  <si>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</si>
  <si>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</si>
  <si>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</si>
  <si>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</si>
  <si>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</si>
  <si>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</si>
  <si>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</si>
  <si>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</si>
  <si>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</si>
  <si>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</si>
  <si>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</si>
  <si>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</si>
  <si>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</si>
  <si>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</si>
  <si>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</si>
  <si>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</si>
  <si>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</si>
  <si>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</si>
  <si>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</si>
  <si>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</si>
  <si>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</si>
  <si>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</si>
  <si>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</si>
  <si>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</si>
  <si>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</si>
  <si>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</si>
  <si>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</si>
  <si>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</si>
  <si>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</si>
  <si>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</si>
  <si>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</si>
  <si>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</si>
  <si>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</si>
  <si>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</si>
  <si>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</si>
  <si>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</si>
  <si>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</si>
  <si>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</si>
  <si>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</si>
  <si>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</si>
  <si>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</si>
  <si>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</si>
  <si>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</si>
  <si>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</si>
  <si>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</si>
  <si>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</si>
  <si>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</si>
  <si>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</si>
  <si>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</si>
  <si>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</si>
  <si>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</si>
  <si>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</si>
  <si>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</si>
  <si>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</si>
  <si>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</si>
  <si>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</si>
  <si>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</si>
  <si>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</si>
  <si>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</si>
  <si>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</si>
  <si>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</si>
  <si>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</si>
  <si>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</si>
  <si>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</si>
  <si>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</si>
  <si>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</t>
  </si>
  <si>
    <t>2023Q2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</si>
  <si>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</si>
  <si>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</si>
  <si>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</si>
  <si>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</si>
  <si>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</si>
  <si>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</si>
  <si>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</si>
  <si>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</si>
  <si>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</si>
  <si>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</si>
  <si>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</si>
  <si>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</si>
  <si>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</si>
  <si>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</si>
  <si>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</si>
  <si>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</si>
  <si>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</si>
  <si>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</si>
  <si>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</si>
  <si>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</si>
  <si>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</si>
  <si>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</si>
  <si>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</si>
  <si>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</si>
  <si>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</si>
  <si>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</si>
  <si>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</si>
  <si>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</si>
  <si>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</si>
  <si>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</si>
  <si>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</si>
  <si>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</si>
  <si>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</si>
  <si>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</si>
  <si>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</si>
  <si>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</si>
  <si>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</si>
  <si>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</si>
  <si>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</si>
  <si>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</si>
  <si>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</si>
  <si>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</si>
  <si>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</si>
  <si>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</si>
  <si>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</si>
  <si>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</si>
  <si>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</si>
  <si>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</si>
  <si>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</si>
  <si>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</si>
  <si>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</si>
  <si>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</si>
  <si>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</si>
  <si>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</si>
  <si>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</si>
  <si>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</si>
  <si>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</si>
  <si>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</si>
  <si>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</si>
  <si>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</si>
  <si>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</si>
  <si>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</si>
  <si>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</si>
  <si>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</si>
  <si>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</si>
  <si>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</si>
  <si>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</si>
  <si>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</si>
  <si>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</si>
  <si>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</si>
  <si>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</si>
  <si>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</si>
  <si>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</si>
  <si>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</si>
  <si>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</si>
  <si>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</si>
  <si>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</si>
  <si>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</si>
  <si>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</si>
  <si>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</si>
  <si>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</si>
  <si>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</si>
  <si>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</si>
  <si>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</si>
  <si>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</si>
  <si>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</si>
  <si>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</si>
  <si>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</si>
  <si>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</si>
  <si>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</si>
  <si>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</si>
  <si>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</si>
  <si>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</si>
  <si>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</t>
  </si>
  <si>
    <t>2023Q3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</si>
  <si>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</si>
  <si>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</si>
  <si>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</si>
  <si>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</si>
  <si>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</si>
  <si>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</si>
  <si>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</si>
  <si>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</si>
  <si>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</si>
  <si>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</si>
  <si>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</si>
  <si>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</si>
  <si>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</si>
  <si>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</si>
  <si>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</si>
  <si>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</si>
  <si>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</si>
  <si>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</si>
  <si>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</si>
  <si>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</si>
  <si>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</si>
  <si>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</si>
  <si>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</si>
  <si>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</si>
  <si>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</si>
  <si>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</si>
  <si>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</si>
  <si>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</si>
  <si>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</si>
  <si>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</si>
  <si>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</si>
  <si>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</si>
  <si>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</si>
  <si>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</si>
  <si>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</si>
  <si>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</si>
  <si>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</si>
  <si>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</si>
  <si>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</si>
  <si>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</si>
  <si>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</si>
  <si>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</si>
  <si>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</si>
  <si>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</si>
  <si>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</si>
  <si>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</si>
  <si>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</si>
  <si>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</si>
  <si>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</si>
  <si>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</si>
  <si>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</si>
  <si>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</si>
  <si>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</si>
  <si>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</si>
  <si>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</si>
  <si>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</si>
  <si>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</si>
  <si>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</si>
  <si>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</si>
  <si>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</si>
  <si>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</si>
  <si>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</si>
  <si>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</si>
  <si>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</si>
  <si>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</si>
  <si>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</si>
  <si>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</si>
  <si>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</si>
  <si>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</si>
  <si>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</si>
  <si>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</si>
  <si>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</si>
  <si>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</si>
  <si>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</si>
  <si>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</si>
  <si>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</si>
  <si>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</si>
  <si>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</si>
  <si>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</si>
  <si>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</si>
  <si>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</si>
  <si>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</si>
  <si>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</si>
  <si>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</si>
  <si>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</si>
  <si>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</si>
  <si>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</si>
  <si>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</si>
  <si>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</si>
  <si>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</si>
  <si>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</si>
  <si>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</si>
  <si>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</si>
  <si>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</si>
  <si>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</t>
  </si>
  <si>
    <t>2023Q4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</si>
  <si>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</si>
  <si>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</si>
  <si>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</si>
  <si>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</si>
  <si>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</si>
  <si>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</si>
  <si>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</si>
  <si>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</si>
  <si>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</si>
  <si>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</si>
  <si>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</si>
  <si>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</si>
  <si>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</si>
  <si>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</si>
  <si>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</si>
  <si>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</si>
  <si>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</si>
  <si>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</si>
  <si>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</si>
  <si>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</si>
  <si>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</si>
  <si>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</si>
  <si>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</si>
  <si>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</si>
  <si>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</si>
  <si>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</si>
  <si>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</si>
  <si>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</si>
  <si>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</si>
  <si>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</si>
  <si>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</si>
  <si>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</si>
  <si>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</si>
  <si>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</si>
  <si>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</si>
  <si>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</si>
  <si>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</si>
  <si>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</si>
  <si>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</si>
  <si>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</si>
  <si>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</si>
  <si>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</si>
  <si>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</si>
  <si>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</si>
  <si>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</si>
  <si>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</si>
  <si>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</si>
  <si>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</si>
  <si>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</si>
  <si>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</si>
  <si>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</si>
  <si>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</si>
  <si>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</si>
  <si>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</si>
  <si>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</si>
  <si>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</si>
  <si>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</si>
  <si>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</si>
  <si>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</si>
  <si>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</si>
  <si>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</si>
  <si>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</si>
  <si>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</si>
  <si>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</si>
  <si>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</si>
  <si>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</si>
  <si>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</si>
  <si>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</si>
  <si>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</si>
  <si>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</si>
  <si>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</si>
  <si>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</si>
  <si>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</si>
  <si>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</si>
  <si>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</si>
  <si>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</si>
  <si>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</si>
  <si>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</si>
  <si>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</si>
  <si>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</si>
  <si>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</si>
  <si>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</si>
  <si>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</si>
  <si>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</si>
  <si>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</si>
  <si>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</si>
  <si>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</si>
  <si>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</si>
  <si>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</si>
  <si>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</si>
  <si>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</si>
  <si>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</si>
  <si>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</si>
  <si>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</si>
  <si>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</t>
  </si>
  <si>
    <t>2024Q1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</si>
  <si>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</si>
  <si>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</si>
  <si>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</si>
  <si>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</si>
  <si>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</si>
  <si>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</si>
  <si>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</si>
  <si>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</si>
  <si>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</si>
  <si>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</si>
  <si>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</si>
  <si>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</si>
  <si>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</si>
  <si>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</si>
  <si>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</si>
  <si>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</si>
  <si>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</si>
  <si>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</si>
  <si>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</si>
  <si>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</si>
  <si>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</si>
  <si>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</si>
  <si>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</si>
  <si>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</si>
  <si>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</si>
  <si>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</si>
  <si>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</si>
  <si>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</si>
  <si>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</si>
  <si>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</si>
  <si>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</si>
  <si>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</si>
  <si>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</si>
  <si>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</si>
  <si>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</si>
  <si>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</si>
  <si>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</si>
  <si>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</si>
  <si>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</si>
  <si>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</si>
  <si>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</si>
  <si>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</si>
  <si>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</si>
  <si>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</si>
  <si>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</si>
  <si>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</si>
  <si>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</si>
  <si>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</si>
  <si>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</si>
  <si>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</si>
  <si>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</si>
  <si>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</si>
  <si>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</si>
  <si>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</si>
  <si>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</si>
  <si>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</si>
  <si>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</si>
  <si>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</si>
  <si>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</si>
  <si>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</si>
  <si>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</si>
  <si>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</si>
  <si>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</si>
  <si>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</si>
  <si>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</si>
  <si>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</si>
  <si>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</si>
  <si>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</si>
  <si>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</si>
  <si>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</si>
  <si>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</si>
  <si>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</si>
  <si>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</si>
  <si>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</si>
  <si>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</si>
  <si>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</si>
  <si>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</si>
  <si>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</si>
  <si>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</si>
  <si>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</si>
  <si>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</si>
  <si>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</si>
  <si>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</si>
  <si>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</si>
  <si>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</si>
  <si>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</si>
  <si>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</si>
  <si>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</si>
  <si>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</si>
  <si>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</si>
  <si>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</si>
  <si>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</si>
  <si>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</si>
  <si>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</t>
  </si>
  <si>
    <t>2024Q2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</si>
  <si>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</si>
  <si>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</si>
  <si>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</si>
  <si>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</si>
  <si>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</si>
  <si>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</si>
  <si>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</si>
  <si>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</si>
  <si>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</si>
  <si>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</si>
  <si>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</si>
  <si>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</si>
  <si>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</si>
  <si>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</si>
  <si>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</si>
  <si>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</si>
  <si>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</si>
  <si>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</si>
  <si>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</si>
  <si>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</si>
  <si>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</si>
  <si>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</si>
  <si>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</si>
  <si>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</si>
  <si>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</si>
  <si>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</si>
  <si>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</si>
  <si>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</si>
  <si>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</si>
  <si>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</si>
  <si>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</si>
  <si>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</si>
  <si>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</si>
  <si>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</si>
  <si>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</si>
  <si>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</si>
  <si>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</si>
  <si>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</si>
  <si>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</si>
  <si>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</si>
  <si>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</si>
  <si>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</si>
  <si>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</si>
  <si>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</si>
  <si>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</si>
  <si>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</si>
  <si>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</si>
  <si>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</si>
  <si>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</si>
  <si>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</si>
  <si>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</si>
  <si>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</si>
  <si>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</si>
  <si>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</si>
  <si>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</si>
  <si>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</si>
  <si>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</si>
  <si>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</si>
  <si>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</si>
  <si>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</si>
  <si>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</si>
  <si>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</si>
  <si>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</si>
  <si>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</si>
  <si>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</si>
  <si>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</si>
  <si>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</si>
  <si>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</si>
  <si>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</si>
  <si>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</si>
  <si>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</si>
  <si>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</si>
  <si>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</si>
  <si>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</si>
  <si>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</si>
  <si>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</si>
  <si>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</si>
  <si>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</si>
  <si>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</si>
  <si>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</si>
  <si>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</si>
  <si>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</si>
  <si>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</si>
  <si>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</si>
  <si>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</si>
  <si>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</si>
  <si>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</si>
  <si>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</si>
  <si>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</si>
  <si>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</si>
  <si>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</si>
  <si>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</si>
  <si>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</si>
  <si>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</t>
  </si>
  <si>
    <t>2024Q3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</si>
  <si>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</si>
  <si>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</si>
  <si>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</si>
  <si>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</si>
  <si>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</si>
  <si>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</si>
  <si>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</si>
  <si>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</si>
  <si>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</si>
  <si>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</si>
  <si>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</si>
  <si>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</si>
  <si>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</si>
  <si>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</si>
  <si>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</si>
  <si>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</si>
  <si>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</si>
  <si>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</si>
  <si>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</si>
  <si>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</si>
  <si>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</si>
  <si>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</si>
  <si>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</si>
  <si>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</si>
  <si>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</si>
  <si>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</si>
  <si>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</si>
  <si>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</si>
  <si>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</si>
  <si>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</si>
  <si>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</si>
  <si>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</si>
  <si>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</si>
  <si>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</si>
  <si>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</si>
  <si>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</si>
  <si>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</si>
  <si>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</si>
  <si>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</si>
  <si>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</si>
  <si>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</si>
  <si>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</si>
  <si>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</si>
  <si>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</si>
  <si>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</si>
  <si>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</si>
  <si>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</si>
  <si>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</si>
  <si>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</si>
  <si>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</si>
  <si>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</si>
  <si>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</si>
  <si>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</si>
  <si>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</si>
  <si>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</si>
  <si>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</si>
  <si>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</si>
  <si>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</si>
  <si>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</si>
  <si>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</si>
  <si>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</si>
  <si>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</si>
  <si>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</si>
  <si>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</si>
  <si>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</si>
  <si>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</si>
  <si>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</si>
  <si>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</si>
  <si>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</si>
  <si>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</si>
  <si>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</si>
  <si>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</si>
  <si>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</si>
  <si>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</si>
  <si>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</si>
  <si>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</si>
  <si>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</si>
  <si>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</si>
  <si>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</si>
  <si>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</si>
  <si>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</si>
  <si>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</si>
  <si>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</si>
  <si>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</si>
  <si>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</si>
  <si>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</si>
  <si>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</si>
  <si>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</si>
  <si>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</si>
  <si>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</si>
  <si>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</si>
  <si>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</si>
  <si>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</si>
  <si>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</si>
  <si>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</t>
  </si>
  <si>
    <t>2024Q4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</si>
  <si>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</si>
  <si>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</si>
  <si>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</si>
  <si>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</si>
  <si>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</si>
  <si>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</si>
  <si>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</si>
  <si>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</si>
  <si>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</si>
  <si>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</si>
  <si>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</si>
  <si>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</si>
  <si>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</si>
  <si>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</si>
  <si>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</si>
  <si>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</si>
  <si>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</si>
  <si>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</si>
  <si>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</si>
  <si>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</si>
  <si>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</si>
  <si>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</si>
  <si>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</si>
  <si>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</si>
  <si>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</si>
  <si>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</si>
  <si>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</si>
  <si>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</si>
  <si>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</si>
  <si>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</si>
  <si>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</si>
  <si>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</si>
  <si>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</si>
  <si>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</si>
  <si>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</si>
  <si>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</si>
  <si>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</si>
  <si>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</si>
  <si>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</si>
  <si>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</si>
  <si>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</si>
  <si>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</si>
  <si>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</si>
  <si>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</si>
  <si>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</si>
  <si>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</si>
  <si>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</si>
  <si>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</si>
  <si>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</si>
  <si>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</si>
  <si>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</si>
  <si>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</si>
  <si>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</si>
  <si>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</si>
  <si>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</si>
  <si>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</si>
  <si>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</si>
  <si>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</si>
  <si>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</si>
  <si>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</si>
  <si>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</si>
  <si>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</si>
  <si>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</si>
  <si>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</si>
  <si>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</si>
  <si>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</si>
  <si>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</si>
  <si>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</si>
  <si>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</si>
  <si>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</si>
  <si>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</si>
  <si>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</si>
  <si>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</si>
  <si>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</si>
  <si>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</si>
  <si>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</si>
  <si>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</si>
  <si>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</si>
  <si>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</si>
  <si>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</si>
  <si>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</si>
  <si>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</si>
  <si>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</si>
  <si>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</si>
  <si>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</si>
  <si>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</si>
  <si>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</si>
  <si>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</si>
  <si>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</si>
  <si>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</si>
  <si>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</si>
  <si>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</si>
  <si>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</si>
  <si>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</si>
  <si>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</t>
  </si>
  <si>
    <t>2025Q1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</si>
  <si>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</si>
  <si>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</si>
  <si>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</si>
  <si>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</si>
  <si>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</si>
  <si>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</si>
  <si>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</si>
  <si>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</si>
  <si>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</si>
  <si>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</si>
  <si>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</si>
  <si>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</si>
  <si>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</si>
  <si>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</si>
  <si>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</si>
  <si>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</si>
  <si>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</si>
  <si>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</si>
  <si>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</si>
  <si>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</si>
  <si>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</si>
  <si>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</si>
  <si>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</si>
  <si>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</si>
  <si>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</si>
  <si>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</si>
  <si>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</si>
  <si>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</si>
  <si>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</si>
  <si>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</si>
  <si>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</si>
  <si>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</si>
  <si>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</si>
  <si>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</si>
  <si>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</si>
  <si>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</si>
  <si>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</si>
  <si>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</si>
  <si>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</si>
  <si>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</si>
  <si>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</si>
  <si>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</si>
  <si>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</si>
  <si>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</si>
  <si>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</si>
  <si>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</si>
  <si>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</si>
  <si>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</si>
  <si>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</si>
  <si>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</si>
  <si>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</si>
  <si>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</si>
  <si>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</si>
  <si>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</si>
  <si>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</si>
  <si>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</si>
  <si>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</si>
  <si>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</si>
  <si>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</si>
  <si>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</si>
  <si>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</si>
  <si>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</si>
  <si>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</si>
  <si>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</si>
  <si>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</si>
  <si>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</si>
  <si>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</si>
  <si>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</si>
  <si>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</si>
  <si>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</si>
  <si>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</si>
  <si>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</si>
  <si>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</si>
  <si>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</si>
  <si>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</si>
  <si>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</si>
  <si>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</si>
  <si>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</si>
  <si>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</si>
  <si>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</si>
  <si>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</si>
  <si>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</si>
  <si>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</si>
  <si>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</si>
  <si>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</si>
  <si>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</si>
  <si>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</si>
  <si>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</si>
  <si>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</si>
  <si>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</si>
  <si>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</si>
  <si>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</si>
  <si>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</t>
  </si>
  <si>
    <t>2025Q2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</si>
  <si>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</si>
  <si>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</si>
  <si>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</si>
  <si>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</si>
  <si>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</si>
  <si>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</si>
  <si>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</si>
  <si>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</si>
  <si>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</si>
  <si>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</si>
  <si>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</si>
  <si>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</si>
  <si>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</si>
  <si>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</si>
  <si>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</si>
  <si>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</si>
  <si>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</si>
  <si>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</si>
  <si>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</si>
  <si>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</si>
  <si>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</si>
  <si>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</si>
  <si>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</si>
  <si>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</si>
  <si>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</si>
  <si>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</si>
  <si>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</si>
  <si>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</si>
  <si>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</si>
  <si>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</si>
  <si>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</si>
  <si>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</si>
  <si>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</si>
  <si>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</si>
  <si>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</si>
  <si>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</si>
  <si>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</si>
  <si>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</si>
  <si>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</si>
  <si>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</si>
  <si>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</si>
  <si>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</si>
  <si>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</si>
  <si>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</si>
  <si>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</si>
  <si>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</si>
  <si>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</si>
  <si>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</si>
  <si>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</si>
  <si>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</si>
  <si>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</si>
  <si>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</si>
  <si>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</si>
  <si>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</si>
  <si>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</si>
  <si>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</si>
  <si>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</si>
  <si>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</si>
  <si>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</si>
  <si>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</si>
  <si>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</si>
  <si>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</si>
  <si>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</si>
  <si>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</si>
  <si>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</si>
  <si>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</si>
  <si>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</si>
  <si>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</si>
  <si>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</si>
  <si>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</si>
  <si>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</si>
  <si>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</si>
  <si>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</si>
  <si>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</si>
  <si>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</si>
  <si>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</si>
  <si>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</si>
  <si>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</si>
  <si>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</si>
  <si>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</si>
  <si>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</si>
  <si>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</si>
  <si>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</si>
  <si>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</si>
  <si>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</si>
  <si>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</si>
  <si>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</si>
  <si>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</si>
  <si>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</si>
  <si>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</si>
  <si>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</si>
  <si>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</si>
  <si>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</si>
  <si>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</t>
  </si>
  <si>
    <t>2025Q3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</si>
  <si>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</si>
  <si>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</si>
  <si>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</si>
  <si>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</si>
  <si>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</si>
  <si>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</si>
  <si>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</si>
  <si>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</si>
  <si>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</si>
  <si>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</si>
  <si>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</si>
  <si>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</si>
  <si>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</si>
  <si>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</si>
  <si>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</si>
  <si>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</si>
  <si>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</si>
  <si>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</si>
  <si>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</si>
  <si>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</si>
  <si>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</si>
  <si>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</si>
  <si>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</si>
  <si>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</si>
  <si>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</si>
  <si>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</si>
  <si>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</si>
  <si>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</si>
  <si>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</si>
  <si>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</si>
  <si>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</si>
  <si>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</si>
  <si>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</si>
  <si>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</si>
  <si>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</si>
  <si>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</si>
  <si>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</si>
  <si>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</si>
  <si>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</si>
  <si>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</si>
  <si>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</si>
  <si>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</si>
  <si>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</si>
  <si>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</si>
  <si>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</si>
  <si>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</si>
  <si>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</si>
  <si>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</si>
  <si>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</si>
  <si>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</si>
  <si>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</si>
  <si>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</si>
  <si>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</si>
  <si>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</si>
  <si>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</si>
  <si>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</si>
  <si>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</si>
  <si>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</si>
  <si>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</si>
  <si>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</si>
  <si>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</si>
  <si>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</si>
  <si>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</si>
  <si>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</si>
  <si>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</si>
  <si>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</si>
  <si>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</si>
  <si>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</si>
  <si>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</si>
  <si>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</si>
  <si>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</si>
  <si>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</si>
  <si>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</si>
  <si>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</si>
  <si>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</si>
  <si>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</si>
  <si>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</si>
  <si>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</si>
  <si>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</si>
  <si>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</si>
  <si>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</si>
  <si>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</si>
  <si>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</si>
  <si>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</si>
  <si>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</si>
  <si>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</si>
  <si>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</si>
  <si>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</si>
  <si>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</si>
  <si>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</si>
  <si>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</si>
  <si>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</si>
  <si>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</si>
  <si>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Month (YYYY-MM)</t>
  </si>
  <si>
    <t>IDRUSD_MonthAvg (from Daily_FX)</t>
  </si>
  <si>
    <t>lnE_m</t>
  </si>
  <si>
    <t>r_m (Monthly log return)</t>
  </si>
  <si>
    <t>ERVol_Q_fromMonthly_3M</t>
  </si>
  <si>
    <t>ERVol_Q_fromMonthly_12M</t>
  </si>
  <si>
    <t>IDRUSD (last month in Q)</t>
  </si>
  <si>
    <t>Step-by-step example of FX volatility (log-return based) using small sample data:</t>
  </si>
  <si>
    <t>IDRUSD</t>
  </si>
  <si>
    <t>ln(E)</t>
  </si>
  <si>
    <t>r_t = ln(E_t) - ln(E_{t-1})</t>
  </si>
  <si>
    <t>4-period rolling stdev of r_t</t>
  </si>
  <si>
    <t>r_t</t>
  </si>
  <si>
    <t>Rolling SD(4)</t>
  </si>
  <si>
    <t>2012-01</t>
  </si>
  <si>
    <t>2012Q1</t>
  </si>
  <si>
    <t>2012-02</t>
  </si>
  <si>
    <t>2012-03</t>
  </si>
  <si>
    <t>2012-04</t>
  </si>
  <si>
    <t>2012Q2</t>
  </si>
  <si>
    <t>2012-05</t>
  </si>
  <si>
    <t>2012-06</t>
  </si>
  <si>
    <t>2012-07</t>
  </si>
  <si>
    <t>2012Q3</t>
  </si>
  <si>
    <t>2012-08</t>
  </si>
  <si>
    <t>2012-09</t>
  </si>
  <si>
    <t>2012-10</t>
  </si>
  <si>
    <t>2012Q4</t>
  </si>
  <si>
    <t>2012-11</t>
  </si>
  <si>
    <t>2012-12</t>
  </si>
  <si>
    <t>2013 and 2014 was restated on 2015</t>
  </si>
  <si>
    <t>2017 and 2018 was restated on 2019</t>
  </si>
  <si>
    <t>2018 and 2019 was restated on 2020</t>
  </si>
  <si>
    <t>2020 and 2021 was restated on 2022</t>
  </si>
  <si>
    <t>2011Q4</t>
  </si>
  <si>
    <t>2011Q3</t>
  </si>
  <si>
    <t>2011Q2</t>
  </si>
  <si>
    <t>2011Q1</t>
  </si>
  <si>
    <t>2010Q4</t>
  </si>
  <si>
    <t>2010Q3</t>
  </si>
  <si>
    <t>2010Q2</t>
  </si>
  <si>
    <t>2010Q1</t>
  </si>
  <si>
    <t>20102H</t>
  </si>
  <si>
    <t>20101H</t>
  </si>
  <si>
    <t>2009Q4</t>
  </si>
  <si>
    <t>2008Q4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</si>
</sst>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5" fontId="0" fillId="0" borderId="0" xfId="0" applyNumberFormat="1" applyAlignment="1">
      <alignment horizontal="left"/>
    </xf>
    <xf numFmtId="3" fontId="0" fillId="0" borderId="0" xfId="0" applyNumberFormat="1"/>
    <xf numFmtId="43" fontId="0" fillId="0" borderId="0" xfId="1" applyFont="1"/>
    <xf numFmtId="0" fontId="2" fillId="0" borderId="0" xfId="0" applyFont="1"/>
    <xf numFmtId="43" fontId="2" fillId="0" borderId="0" xfId="1" applyFont="1"/>
    <xf numFmtId="43" fontId="2" fillId="0" borderId="0" xfId="0" applyNumberFormat="1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Exchange Rate Volatility (12Q)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Constructed_Variables!$E$1</c:f>
              <c:strCache>
                <c:ptCount val="1"/>
                <c:pt idx="0">
                  <c:v>ERVol_12Q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Constructed_Variables!$A$2:$A$17</c:f>
              <c:strCache>
                <c:ptCount val="16"/>
                <c:pt idx="0">
                  <c:v>2013Q1</c:v>
                </c:pt>
                <c:pt idx="1">
                  <c:v>2013Q2</c:v>
                </c:pt>
                <c:pt idx="2">
                  <c:v>2013Q3</c:v>
                </c:pt>
                <c:pt idx="3">
                  <c:v>2013Q4</c:v>
                </c:pt>
                <c:pt idx="4">
                  <c:v>2014Q1</c:v>
                </c:pt>
                <c:pt idx="5">
                  <c:v>2014Q2</c:v>
                </c:pt>
                <c:pt idx="6">
                  <c:v>2014Q3</c:v>
                </c:pt>
                <c:pt idx="7">
                  <c:v>2014Q4</c:v>
                </c:pt>
                <c:pt idx="8">
                  <c:v>2015Q1</c:v>
                </c:pt>
                <c:pt idx="9">
                  <c:v>2015Q2</c:v>
                </c:pt>
                <c:pt idx="10">
                  <c:v>2015Q3</c:v>
                </c:pt>
                <c:pt idx="11">
                  <c:v>2015Q4</c:v>
                </c:pt>
                <c:pt idx="12">
                  <c:v>2016Q1</c:v>
                </c:pt>
                <c:pt idx="13">
                  <c:v>2016Q2</c:v>
                </c:pt>
                <c:pt idx="14">
                  <c:v>2016Q3</c:v>
                </c:pt>
                <c:pt idx="15">
                  <c:v>2016Q4</c:v>
                </c:pt>
              </c:strCache>
            </c:strRef>
          </c:cat>
          <c:val>
            <c:numRef>
              <c:f>Constructed_Variables!$E$2:$E$17</c:f>
              <c:numCache>
                <c:formatCode>General</c:formatCode>
                <c:ptCount val="16"/>
                <c:pt idx="0">
                  <c:v>1.9212738256421821E-2</c:v>
                </c:pt>
                <c:pt idx="1">
                  <c:v>1.9514688138905945E-2</c:v>
                </c:pt>
                <c:pt idx="2">
                  <c:v>4.6194810668332739E-2</c:v>
                </c:pt>
                <c:pt idx="3">
                  <c:v>4.6590776495264462E-2</c:v>
                </c:pt>
                <c:pt idx="4">
                  <c:v>5.1097814494179168E-2</c:v>
                </c:pt>
                <c:pt idx="5">
                  <c:v>5.0293682665133163E-2</c:v>
                </c:pt>
                <c:pt idx="6">
                  <c:v>5.0339211878806016E-2</c:v>
                </c:pt>
                <c:pt idx="7">
                  <c:v>5.0399773291717014E-2</c:v>
                </c:pt>
                <c:pt idx="8">
                  <c:v>5.0635928063082689E-2</c:v>
                </c:pt>
                <c:pt idx="9">
                  <c:v>5.0720070586298745E-2</c:v>
                </c:pt>
                <c:pt idx="10">
                  <c:v>5.3789384352911397E-2</c:v>
                </c:pt>
                <c:pt idx="11">
                  <c:v>6.0241207709949576E-2</c:v>
                </c:pt>
                <c:pt idx="12">
                  <c:v>6.3085153519799278E-2</c:v>
                </c:pt>
                <c:pt idx="13">
                  <c:v>6.3812837028444133E-2</c:v>
                </c:pt>
                <c:pt idx="14">
                  <c:v>4.8682388898652229E-2</c:v>
                </c:pt>
                <c:pt idx="15">
                  <c:v>4.7760749514848488E-2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8-4602-8993-8DAA71BBF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Cash-Flow Volatility (12Q, OCF/Assets)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Constructed_Variables!$D$1</c:f>
              <c:strCache>
                <c:ptCount val="1"/>
                <c:pt idx="0">
                  <c:v>CFV_12Q_OCFtoAssets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Constructed_Variables!$A$2:$A$17</c:f>
              <c:strCache>
                <c:ptCount val="16"/>
                <c:pt idx="0">
                  <c:v>2013Q1</c:v>
                </c:pt>
                <c:pt idx="1">
                  <c:v>2013Q2</c:v>
                </c:pt>
                <c:pt idx="2">
                  <c:v>2013Q3</c:v>
                </c:pt>
                <c:pt idx="3">
                  <c:v>2013Q4</c:v>
                </c:pt>
                <c:pt idx="4">
                  <c:v>2014Q1</c:v>
                </c:pt>
                <c:pt idx="5">
                  <c:v>2014Q2</c:v>
                </c:pt>
                <c:pt idx="6">
                  <c:v>2014Q3</c:v>
                </c:pt>
                <c:pt idx="7">
                  <c:v>2014Q4</c:v>
                </c:pt>
                <c:pt idx="8">
                  <c:v>2015Q1</c:v>
                </c:pt>
                <c:pt idx="9">
                  <c:v>2015Q2</c:v>
                </c:pt>
                <c:pt idx="10">
                  <c:v>2015Q3</c:v>
                </c:pt>
                <c:pt idx="11">
                  <c:v>2015Q4</c:v>
                </c:pt>
                <c:pt idx="12">
                  <c:v>2016Q1</c:v>
                </c:pt>
                <c:pt idx="13">
                  <c:v>2016Q2</c:v>
                </c:pt>
                <c:pt idx="14">
                  <c:v>2016Q3</c:v>
                </c:pt>
                <c:pt idx="15">
                  <c:v>2016Q4</c:v>
                </c:pt>
              </c:strCache>
            </c:strRef>
          </c:cat>
          <c:val>
            <c:numRef>
              <c:f>Constructed_Variables!$D$2:$D$17</c:f>
              <c:numCache>
                <c:formatCode>General</c:formatCode>
                <c:ptCount val="16"/>
                <c:pt idx="0">
                  <c:v>4.0526171642317914E-2</c:v>
                </c:pt>
                <c:pt idx="1">
                  <c:v>4.2834563351996542E-2</c:v>
                </c:pt>
                <c:pt idx="2">
                  <c:v>4.1751480333378138E-2</c:v>
                </c:pt>
                <c:pt idx="3">
                  <c:v>4.4327420959448811E-2</c:v>
                </c:pt>
                <c:pt idx="4">
                  <c:v>4.4464499163575026E-2</c:v>
                </c:pt>
                <c:pt idx="5">
                  <c:v>4.6837925067145847E-2</c:v>
                </c:pt>
                <c:pt idx="6">
                  <c:v>4.4806448022283001E-2</c:v>
                </c:pt>
                <c:pt idx="7">
                  <c:v>4.3397692143108575E-2</c:v>
                </c:pt>
                <c:pt idx="8">
                  <c:v>4.3325064413057647E-2</c:v>
                </c:pt>
                <c:pt idx="9">
                  <c:v>4.3418373180312449E-2</c:v>
                </c:pt>
                <c:pt idx="10">
                  <c:v>4.0916633785519983E-2</c:v>
                </c:pt>
                <c:pt idx="11">
                  <c:v>3.7515678455651812E-2</c:v>
                </c:pt>
                <c:pt idx="12">
                  <c:v>3.7536441062919708E-2</c:v>
                </c:pt>
                <c:pt idx="13">
                  <c:v>3.1434884677639136E-2</c:v>
                </c:pt>
                <c:pt idx="14">
                  <c:v>2.6757526906559751E-2</c:v>
                </c:pt>
                <c:pt idx="15">
                  <c:v>2.159055052298426E-2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7-4E31-A5E7-AB4DEC76E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ROA and Net Income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Constructed_Variables!$B$1</c:f>
              <c:strCache>
                <c:ptCount val="1"/>
                <c:pt idx="0">
                  <c:v>ROA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Constructed_Variables!$A$2:$A$17</c:f>
              <c:strCache>
                <c:ptCount val="16"/>
                <c:pt idx="0">
                  <c:v>2013Q1</c:v>
                </c:pt>
                <c:pt idx="1">
                  <c:v>2013Q2</c:v>
                </c:pt>
                <c:pt idx="2">
                  <c:v>2013Q3</c:v>
                </c:pt>
                <c:pt idx="3">
                  <c:v>2013Q4</c:v>
                </c:pt>
                <c:pt idx="4">
                  <c:v>2014Q1</c:v>
                </c:pt>
                <c:pt idx="5">
                  <c:v>2014Q2</c:v>
                </c:pt>
                <c:pt idx="6">
                  <c:v>2014Q3</c:v>
                </c:pt>
                <c:pt idx="7">
                  <c:v>2014Q4</c:v>
                </c:pt>
                <c:pt idx="8">
                  <c:v>2015Q1</c:v>
                </c:pt>
                <c:pt idx="9">
                  <c:v>2015Q2</c:v>
                </c:pt>
                <c:pt idx="10">
                  <c:v>2015Q3</c:v>
                </c:pt>
                <c:pt idx="11">
                  <c:v>2015Q4</c:v>
                </c:pt>
                <c:pt idx="12">
                  <c:v>2016Q1</c:v>
                </c:pt>
                <c:pt idx="13">
                  <c:v>2016Q2</c:v>
                </c:pt>
                <c:pt idx="14">
                  <c:v>2016Q3</c:v>
                </c:pt>
                <c:pt idx="15">
                  <c:v>2016Q4</c:v>
                </c:pt>
              </c:strCache>
            </c:strRef>
          </c:cat>
          <c:val>
            <c:numRef>
              <c:f>Constructed_Variables!$B$2:$B$17</c:f>
              <c:numCache>
                <c:formatCode>General</c:formatCode>
                <c:ptCount val="16"/>
                <c:pt idx="0">
                  <c:v>4.4056900298205439E-3</c:v>
                </c:pt>
                <c:pt idx="1">
                  <c:v>-2.4338621878332465E-3</c:v>
                </c:pt>
                <c:pt idx="2">
                  <c:v>-1.860375787477303E-2</c:v>
                </c:pt>
                <c:pt idx="3">
                  <c:v>-8.730025140851215E-3</c:v>
                </c:pt>
                <c:pt idx="4">
                  <c:v>-3.1191003265847079E-2</c:v>
                </c:pt>
                <c:pt idx="5">
                  <c:v>-7.2903910539967674E-3</c:v>
                </c:pt>
                <c:pt idx="6">
                  <c:v>-9.056226895752242E-3</c:v>
                </c:pt>
                <c:pt idx="7">
                  <c:v>-1.7484007955344643E-2</c:v>
                </c:pt>
                <c:pt idx="8">
                  <c:v>-1.7653484682855408E-2</c:v>
                </c:pt>
                <c:pt idx="9">
                  <c:v>-4.0492290000583062E-2</c:v>
                </c:pt>
                <c:pt idx="10">
                  <c:v>0.34944993326983725</c:v>
                </c:pt>
                <c:pt idx="11">
                  <c:v>-1.8644002080202601E-3</c:v>
                </c:pt>
                <c:pt idx="12">
                  <c:v>1.2666205973062868E-2</c:v>
                </c:pt>
                <c:pt idx="13">
                  <c:v>-5.1827281803717056E-3</c:v>
                </c:pt>
                <c:pt idx="14">
                  <c:v>-4.0121231627784906E-3</c:v>
                </c:pt>
                <c:pt idx="15">
                  <c:v>-2.5123191578011937E-2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4-44A2-99E7-211B627689F1}"/>
            </c:ext>
          </c:extLst>
        </c:ser>
        <c:ser>
          <c:idx val="1"/>
          <c:order val="1"/>
          <c:tx>
            <c:strRef>
              <c:f>Constructed_Variables!$C$1</c:f>
              <c:strCache>
                <c:ptCount val="1"/>
                <c:pt idx="0">
                  <c:v>NetIncome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Constructed_Variables!$A$2:$A$17</c:f>
              <c:strCache>
                <c:ptCount val="16"/>
                <c:pt idx="0">
                  <c:v>2013Q1</c:v>
                </c:pt>
                <c:pt idx="1">
                  <c:v>2013Q2</c:v>
                </c:pt>
                <c:pt idx="2">
                  <c:v>2013Q3</c:v>
                </c:pt>
                <c:pt idx="3">
                  <c:v>2013Q4</c:v>
                </c:pt>
                <c:pt idx="4">
                  <c:v>2014Q1</c:v>
                </c:pt>
                <c:pt idx="5">
                  <c:v>2014Q2</c:v>
                </c:pt>
                <c:pt idx="6">
                  <c:v>2014Q3</c:v>
                </c:pt>
                <c:pt idx="7">
                  <c:v>2014Q4</c:v>
                </c:pt>
                <c:pt idx="8">
                  <c:v>2015Q1</c:v>
                </c:pt>
                <c:pt idx="9">
                  <c:v>2015Q2</c:v>
                </c:pt>
                <c:pt idx="10">
                  <c:v>2015Q3</c:v>
                </c:pt>
                <c:pt idx="11">
                  <c:v>2015Q4</c:v>
                </c:pt>
                <c:pt idx="12">
                  <c:v>2016Q1</c:v>
                </c:pt>
                <c:pt idx="13">
                  <c:v>2016Q2</c:v>
                </c:pt>
                <c:pt idx="14">
                  <c:v>2016Q3</c:v>
                </c:pt>
                <c:pt idx="15">
                  <c:v>2016Q4</c:v>
                </c:pt>
              </c:strCache>
            </c:strRef>
          </c:cat>
          <c:val>
            <c:numRef>
              <c:f>Constructed_Variables!$C$2:$C$17</c:f>
              <c:numCache>
                <c:formatCode>General</c:formatCode>
                <c:ptCount val="16"/>
                <c:pt idx="0">
                  <c:v>11130</c:v>
                </c:pt>
                <c:pt idx="1">
                  <c:v>-6281</c:v>
                </c:pt>
                <c:pt idx="2">
                  <c:v>-47658</c:v>
                </c:pt>
                <c:pt idx="3">
                  <c:v>-21109</c:v>
                </c:pt>
                <c:pt idx="4">
                  <c:v>-73521</c:v>
                </c:pt>
                <c:pt idx="5">
                  <c:v>-17863</c:v>
                </c:pt>
                <c:pt idx="6">
                  <c:v>-23413</c:v>
                </c:pt>
                <c:pt idx="7">
                  <c:v>-45507</c:v>
                </c:pt>
                <c:pt idx="8">
                  <c:v>-46566</c:v>
                </c:pt>
                <c:pt idx="9">
                  <c:v>-105213</c:v>
                </c:pt>
                <c:pt idx="10">
                  <c:v>1060706</c:v>
                </c:pt>
                <c:pt idx="11">
                  <c:v>-6756</c:v>
                </c:pt>
                <c:pt idx="12">
                  <c:v>47106</c:v>
                </c:pt>
                <c:pt idx="13">
                  <c:v>-19814</c:v>
                </c:pt>
                <c:pt idx="14">
                  <c:v>-15532</c:v>
                </c:pt>
                <c:pt idx="15">
                  <c:v>-97591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24-44A2-99E7-211B62768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FX Volatility: Quarterly vs Monthly-derived (12M)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Constructed_Variables!$E$1</c:f>
              <c:strCache>
                <c:ptCount val="1"/>
                <c:pt idx="0">
                  <c:v>ERVol_12Q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Constructed_Variables!$A$2:$A$17</c:f>
              <c:strCache>
                <c:ptCount val="16"/>
                <c:pt idx="0">
                  <c:v>2013Q1</c:v>
                </c:pt>
                <c:pt idx="1">
                  <c:v>2013Q2</c:v>
                </c:pt>
                <c:pt idx="2">
                  <c:v>2013Q3</c:v>
                </c:pt>
                <c:pt idx="3">
                  <c:v>2013Q4</c:v>
                </c:pt>
                <c:pt idx="4">
                  <c:v>2014Q1</c:v>
                </c:pt>
                <c:pt idx="5">
                  <c:v>2014Q2</c:v>
                </c:pt>
                <c:pt idx="6">
                  <c:v>2014Q3</c:v>
                </c:pt>
                <c:pt idx="7">
                  <c:v>2014Q4</c:v>
                </c:pt>
                <c:pt idx="8">
                  <c:v>2015Q1</c:v>
                </c:pt>
                <c:pt idx="9">
                  <c:v>2015Q2</c:v>
                </c:pt>
                <c:pt idx="10">
                  <c:v>2015Q3</c:v>
                </c:pt>
                <c:pt idx="11">
                  <c:v>2015Q4</c:v>
                </c:pt>
                <c:pt idx="12">
                  <c:v>2016Q1</c:v>
                </c:pt>
                <c:pt idx="13">
                  <c:v>2016Q2</c:v>
                </c:pt>
                <c:pt idx="14">
                  <c:v>2016Q3</c:v>
                </c:pt>
                <c:pt idx="15">
                  <c:v>2016Q4</c:v>
                </c:pt>
              </c:strCache>
            </c:strRef>
          </c:cat>
          <c:val>
            <c:numRef>
              <c:f>Constructed_Variables!$E$2:$E$17</c:f>
              <c:numCache>
                <c:formatCode>General</c:formatCode>
                <c:ptCount val="16"/>
                <c:pt idx="0">
                  <c:v>1.9212738256421821E-2</c:v>
                </c:pt>
                <c:pt idx="1">
                  <c:v>1.9514688138905945E-2</c:v>
                </c:pt>
                <c:pt idx="2">
                  <c:v>4.6194810668332739E-2</c:v>
                </c:pt>
                <c:pt idx="3">
                  <c:v>4.6590776495264462E-2</c:v>
                </c:pt>
                <c:pt idx="4">
                  <c:v>5.1097814494179168E-2</c:v>
                </c:pt>
                <c:pt idx="5">
                  <c:v>5.0293682665133163E-2</c:v>
                </c:pt>
                <c:pt idx="6">
                  <c:v>5.0339211878806016E-2</c:v>
                </c:pt>
                <c:pt idx="7">
                  <c:v>5.0399773291717014E-2</c:v>
                </c:pt>
                <c:pt idx="8">
                  <c:v>5.0635928063082689E-2</c:v>
                </c:pt>
                <c:pt idx="9">
                  <c:v>5.0720070586298745E-2</c:v>
                </c:pt>
                <c:pt idx="10">
                  <c:v>5.3789384352911397E-2</c:v>
                </c:pt>
                <c:pt idx="11">
                  <c:v>6.0241207709949576E-2</c:v>
                </c:pt>
                <c:pt idx="12">
                  <c:v>6.3085153519799278E-2</c:v>
                </c:pt>
                <c:pt idx="13">
                  <c:v>6.3812837028444133E-2</c:v>
                </c:pt>
                <c:pt idx="14">
                  <c:v>4.8682388898652229E-2</c:v>
                </c:pt>
                <c:pt idx="15">
                  <c:v>4.7760749514848488E-2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9-4380-BC38-BA80534F7841}"/>
            </c:ext>
          </c:extLst>
        </c:ser>
        <c:ser>
          <c:idx val="1"/>
          <c:order val="1"/>
          <c:tx>
            <c:strRef>
              <c:f>Constructed_Variables!$K$1</c:f>
              <c:strCache>
                <c:ptCount val="1"/>
                <c:pt idx="0">
                  <c:v>ERVol_Q_Monthly_12M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Constructed_Variables!$A$2:$A$17</c:f>
              <c:strCache>
                <c:ptCount val="16"/>
                <c:pt idx="0">
                  <c:v>2013Q1</c:v>
                </c:pt>
                <c:pt idx="1">
                  <c:v>2013Q2</c:v>
                </c:pt>
                <c:pt idx="2">
                  <c:v>2013Q3</c:v>
                </c:pt>
                <c:pt idx="3">
                  <c:v>2013Q4</c:v>
                </c:pt>
                <c:pt idx="4">
                  <c:v>2014Q1</c:v>
                </c:pt>
                <c:pt idx="5">
                  <c:v>2014Q2</c:v>
                </c:pt>
                <c:pt idx="6">
                  <c:v>2014Q3</c:v>
                </c:pt>
                <c:pt idx="7">
                  <c:v>2014Q4</c:v>
                </c:pt>
                <c:pt idx="8">
                  <c:v>2015Q1</c:v>
                </c:pt>
                <c:pt idx="9">
                  <c:v>2015Q2</c:v>
                </c:pt>
                <c:pt idx="10">
                  <c:v>2015Q3</c:v>
                </c:pt>
                <c:pt idx="11">
                  <c:v>2015Q4</c:v>
                </c:pt>
                <c:pt idx="12">
                  <c:v>2016Q1</c:v>
                </c:pt>
                <c:pt idx="13">
                  <c:v>2016Q2</c:v>
                </c:pt>
                <c:pt idx="14">
                  <c:v>2016Q3</c:v>
                </c:pt>
                <c:pt idx="15">
                  <c:v>2016Q4</c:v>
                </c:pt>
              </c:strCache>
            </c:strRef>
          </c:cat>
          <c:val>
            <c:numRef>
              <c:f>Constructed_Variables!$K$2:$K$17</c:f>
              <c:numCache>
                <c:formatCode>General</c:formatCode>
                <c:ptCount val="16"/>
                <c:pt idx="0">
                  <c:v>5.0450092476131891E-3</c:v>
                </c:pt>
                <c:pt idx="1">
                  <c:v>3.1361245381436261E-3</c:v>
                </c:pt>
                <c:pt idx="2">
                  <c:v>2.2795677426872121E-2</c:v>
                </c:pt>
                <c:pt idx="3">
                  <c:v>2.3472672722799463E-2</c:v>
                </c:pt>
                <c:pt idx="4">
                  <c:v>3.0833376987334508E-2</c:v>
                </c:pt>
                <c:pt idx="5">
                  <c:v>3.1150248839173725E-2</c:v>
                </c:pt>
                <c:pt idx="6">
                  <c:v>2.3508690382733077E-2</c:v>
                </c:pt>
                <c:pt idx="7">
                  <c:v>2.1151016328550241E-2</c:v>
                </c:pt>
                <c:pt idx="8">
                  <c:v>1.364775281743236E-2</c:v>
                </c:pt>
                <c:pt idx="9">
                  <c:v>1.3234297856915711E-2</c:v>
                </c:pt>
                <c:pt idx="10">
                  <c:v>1.4310775489959099E-2</c:v>
                </c:pt>
                <c:pt idx="11">
                  <c:v>2.2481700308357343E-2</c:v>
                </c:pt>
                <c:pt idx="12">
                  <c:v>2.5108796615220329E-2</c:v>
                </c:pt>
                <c:pt idx="13">
                  <c:v>2.4783657358835896E-2</c:v>
                </c:pt>
                <c:pt idx="14">
                  <c:v>1.7572300399690727E-2</c:v>
                </c:pt>
                <c:pt idx="15">
                  <c:v>1.5172456220685748E-2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79-4380-BC38-BA80534F7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86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86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864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opLeftCell="F1" workbookViewId="0">
      <pane ySplit="1" topLeftCell="A32" activePane="bottomLeft" state="frozen"/>
      <selection pane="bottomLeft" activeCell="Q46" sqref="Q46"/>
    </sheetView>
  </sheetViews>
  <sheetFormatPr defaultRowHeight="15" x14ac:dyDescent="0.25"/>
  <cols>
    <col min="1" max="17" width="2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11130</v>
      </c>
      <c r="C2" s="4">
        <v>2561947</v>
      </c>
      <c r="D2" s="4">
        <v>2490610</v>
      </c>
      <c r="E2" s="4">
        <v>393</v>
      </c>
      <c r="F2" s="4">
        <v>1300511</v>
      </c>
      <c r="G2" s="4">
        <v>1156561</v>
      </c>
      <c r="H2" s="4">
        <v>1004167</v>
      </c>
      <c r="I2" s="4">
        <v>1126840</v>
      </c>
      <c r="J2">
        <v>0</v>
      </c>
      <c r="K2" s="1">
        <v>9719</v>
      </c>
      <c r="L2">
        <f t="shared" ref="L2:L17" si="0">AVERAGE(C2,D2)</f>
        <v>2526278.5</v>
      </c>
      <c r="M2">
        <f t="shared" ref="M2:M17" si="1">IFERROR(B2/L2,"")</f>
        <v>4.4056900298205439E-3</v>
      </c>
      <c r="N2">
        <f t="shared" ref="N2:N17" si="2">IFERROR(H2/I2,"")</f>
        <v>0.89113538745518439</v>
      </c>
      <c r="O2">
        <f t="shared" ref="O2:O17" si="3">IFERROR(F2/G2,"")</f>
        <v>1.124463819893633</v>
      </c>
      <c r="P2">
        <f t="shared" ref="P2:P17" si="4">IFERROR(LN(D2),"")</f>
        <v>14.728038218357888</v>
      </c>
      <c r="Q2">
        <f t="shared" ref="Q2:Q17" si="5">IFERROR(E2/L2,"")</f>
        <v>1.5556479620121058E-4</v>
      </c>
    </row>
    <row r="3" spans="1:17" x14ac:dyDescent="0.25">
      <c r="A3" t="s">
        <v>18</v>
      </c>
      <c r="B3" s="1">
        <v>-6281</v>
      </c>
      <c r="C3" s="4">
        <v>2490610</v>
      </c>
      <c r="D3" s="4">
        <v>2670734</v>
      </c>
      <c r="E3" s="4">
        <v>-158836</v>
      </c>
      <c r="F3" s="4">
        <v>1443524</v>
      </c>
      <c r="G3" s="4">
        <v>1354619</v>
      </c>
      <c r="H3" s="4">
        <v>1212390</v>
      </c>
      <c r="I3" s="4">
        <v>1120562</v>
      </c>
      <c r="J3">
        <v>0</v>
      </c>
      <c r="K3" s="1">
        <v>9929</v>
      </c>
      <c r="L3">
        <f t="shared" si="0"/>
        <v>2580672</v>
      </c>
      <c r="M3">
        <f t="shared" si="1"/>
        <v>-2.4338621878332465E-3</v>
      </c>
      <c r="N3">
        <f t="shared" si="2"/>
        <v>1.0819481652956284</v>
      </c>
      <c r="O3">
        <f t="shared" si="3"/>
        <v>1.0656310003034064</v>
      </c>
      <c r="P3">
        <f t="shared" si="4"/>
        <v>14.797863898963643</v>
      </c>
      <c r="Q3">
        <f t="shared" si="5"/>
        <v>-6.1548309897577064E-2</v>
      </c>
    </row>
    <row r="4" spans="1:17" x14ac:dyDescent="0.25">
      <c r="A4" t="s">
        <v>19</v>
      </c>
      <c r="B4" s="1">
        <v>-47658</v>
      </c>
      <c r="C4" s="4">
        <v>2670734</v>
      </c>
      <c r="D4" s="4">
        <v>2452747</v>
      </c>
      <c r="E4" s="4">
        <v>164751</v>
      </c>
      <c r="F4" s="4">
        <v>1166651</v>
      </c>
      <c r="G4" s="4">
        <v>1143380</v>
      </c>
      <c r="H4" s="4">
        <v>1064788</v>
      </c>
      <c r="I4" s="4">
        <v>1072901</v>
      </c>
      <c r="J4">
        <v>1</v>
      </c>
      <c r="K4" s="1">
        <v>11613</v>
      </c>
      <c r="L4">
        <f t="shared" si="0"/>
        <v>2561740.5</v>
      </c>
      <c r="M4">
        <f t="shared" si="1"/>
        <v>-1.860375787477303E-2</v>
      </c>
      <c r="N4">
        <f t="shared" si="2"/>
        <v>0.99243825851593015</v>
      </c>
      <c r="O4">
        <f>IFERROR(F4/G4,"")</f>
        <v>1.0203528135877835</v>
      </c>
      <c r="P4">
        <f t="shared" si="4"/>
        <v>14.71271917890798</v>
      </c>
      <c r="Q4">
        <f t="shared" si="5"/>
        <v>6.4312134660009471E-2</v>
      </c>
    </row>
    <row r="5" spans="1:17" x14ac:dyDescent="0.25">
      <c r="A5" t="s">
        <v>20</v>
      </c>
      <c r="B5" s="1">
        <v>-21109</v>
      </c>
      <c r="C5" s="4">
        <v>2452747</v>
      </c>
      <c r="D5" s="4">
        <v>2383207</v>
      </c>
      <c r="E5" s="4">
        <v>132567</v>
      </c>
      <c r="F5" s="4">
        <v>1095219</v>
      </c>
      <c r="G5" s="4">
        <v>1138147</v>
      </c>
      <c r="H5" s="4">
        <v>1014767</v>
      </c>
      <c r="I5" s="4">
        <v>1046979</v>
      </c>
      <c r="J5">
        <v>1</v>
      </c>
      <c r="K5" s="1">
        <v>12189</v>
      </c>
      <c r="L5">
        <f t="shared" si="0"/>
        <v>2417977</v>
      </c>
      <c r="M5">
        <f t="shared" si="1"/>
        <v>-8.730025140851215E-3</v>
      </c>
      <c r="N5">
        <f t="shared" si="2"/>
        <v>0.96923338481478616</v>
      </c>
      <c r="O5">
        <f t="shared" si="3"/>
        <v>0.962282552253795</v>
      </c>
      <c r="P5">
        <f t="shared" si="4"/>
        <v>14.683957617604154</v>
      </c>
      <c r="Q5">
        <f t="shared" si="5"/>
        <v>5.4825583535327259E-2</v>
      </c>
    </row>
    <row r="6" spans="1:17" x14ac:dyDescent="0.25">
      <c r="A6" t="s">
        <v>21</v>
      </c>
      <c r="B6" s="1">
        <v>-73521</v>
      </c>
      <c r="C6" s="4">
        <v>2383207</v>
      </c>
      <c r="D6" s="4">
        <v>2331037</v>
      </c>
      <c r="E6" s="4">
        <v>46168</v>
      </c>
      <c r="F6" s="4">
        <v>1040259</v>
      </c>
      <c r="G6" s="4">
        <v>1082181</v>
      </c>
      <c r="H6" s="4">
        <v>1044709</v>
      </c>
      <c r="I6" s="4">
        <v>979257</v>
      </c>
      <c r="J6">
        <v>1</v>
      </c>
      <c r="K6" s="1">
        <v>11404</v>
      </c>
      <c r="L6">
        <f t="shared" si="0"/>
        <v>2357122</v>
      </c>
      <c r="M6">
        <f t="shared" si="1"/>
        <v>-3.1191003265847079E-2</v>
      </c>
      <c r="N6">
        <f t="shared" si="2"/>
        <v>1.0668384295440319</v>
      </c>
      <c r="O6">
        <f t="shared" si="3"/>
        <v>0.96126156345380298</v>
      </c>
      <c r="P6">
        <f t="shared" si="4"/>
        <v>14.661823790907793</v>
      </c>
      <c r="Q6">
        <f t="shared" si="5"/>
        <v>1.9586597554135932E-2</v>
      </c>
    </row>
    <row r="7" spans="1:17" x14ac:dyDescent="0.25">
      <c r="A7" t="s">
        <v>22</v>
      </c>
      <c r="B7" s="1">
        <v>-17863</v>
      </c>
      <c r="C7" s="4">
        <v>2331037</v>
      </c>
      <c r="D7" s="4">
        <v>2569386</v>
      </c>
      <c r="E7" s="4">
        <v>-104572</v>
      </c>
      <c r="F7" s="4">
        <v>1218381</v>
      </c>
      <c r="G7" s="4">
        <v>1343219</v>
      </c>
      <c r="H7" s="4">
        <v>1214853</v>
      </c>
      <c r="I7" s="4">
        <v>962016</v>
      </c>
      <c r="J7">
        <v>1</v>
      </c>
      <c r="K7" s="1">
        <v>11969</v>
      </c>
      <c r="L7">
        <f t="shared" si="0"/>
        <v>2450211.5</v>
      </c>
      <c r="M7">
        <f t="shared" si="1"/>
        <v>-7.2903910539967674E-3</v>
      </c>
      <c r="N7">
        <f t="shared" si="2"/>
        <v>1.2628199530984932</v>
      </c>
      <c r="O7">
        <f t="shared" si="3"/>
        <v>0.90706057612347657</v>
      </c>
      <c r="P7">
        <f t="shared" si="4"/>
        <v>14.759177517821906</v>
      </c>
      <c r="Q7">
        <f t="shared" si="5"/>
        <v>-4.2678764669907068E-2</v>
      </c>
    </row>
    <row r="8" spans="1:17" ht="14.25" customHeight="1" x14ac:dyDescent="0.25">
      <c r="A8" t="s">
        <v>23</v>
      </c>
      <c r="B8" s="1">
        <v>-23413</v>
      </c>
      <c r="C8" s="4">
        <v>2569386</v>
      </c>
      <c r="D8" s="4">
        <v>2601200</v>
      </c>
      <c r="E8" s="4">
        <v>-28874</v>
      </c>
      <c r="F8" s="4">
        <v>1224205</v>
      </c>
      <c r="G8" s="4">
        <v>1352036</v>
      </c>
      <c r="H8" s="4">
        <v>1341654</v>
      </c>
      <c r="I8" s="4">
        <v>939136</v>
      </c>
      <c r="J8">
        <v>1</v>
      </c>
      <c r="K8" s="1">
        <v>12212</v>
      </c>
      <c r="L8">
        <f t="shared" si="0"/>
        <v>2585293</v>
      </c>
      <c r="M8">
        <f t="shared" si="1"/>
        <v>-9.056226895752242E-3</v>
      </c>
      <c r="N8">
        <f t="shared" si="2"/>
        <v>1.4286045897505792</v>
      </c>
      <c r="O8">
        <f t="shared" si="3"/>
        <v>0.90545296131168107</v>
      </c>
      <c r="P8">
        <f t="shared" si="4"/>
        <v>14.771483434977133</v>
      </c>
      <c r="Q8">
        <f t="shared" si="5"/>
        <v>-1.1168560004610696E-2</v>
      </c>
    </row>
    <row r="9" spans="1:17" x14ac:dyDescent="0.25">
      <c r="A9" t="s">
        <v>24</v>
      </c>
      <c r="B9" s="1">
        <v>-45507</v>
      </c>
      <c r="C9" s="4">
        <v>2601200</v>
      </c>
      <c r="D9" s="4">
        <v>2604357</v>
      </c>
      <c r="E9" s="4">
        <v>84980</v>
      </c>
      <c r="F9" s="4">
        <v>1058623</v>
      </c>
      <c r="G9" s="4">
        <v>1413295</v>
      </c>
      <c r="H9" s="4">
        <v>1346760</v>
      </c>
      <c r="I9" s="4">
        <v>885933</v>
      </c>
      <c r="J9">
        <v>1</v>
      </c>
      <c r="K9" s="1">
        <v>12440</v>
      </c>
      <c r="L9">
        <f t="shared" si="0"/>
        <v>2602778.5</v>
      </c>
      <c r="M9">
        <f t="shared" si="1"/>
        <v>-1.7484007955344643E-2</v>
      </c>
      <c r="N9">
        <f t="shared" si="2"/>
        <v>1.52016010240052</v>
      </c>
      <c r="O9">
        <f t="shared" si="3"/>
        <v>0.74904602365394346</v>
      </c>
      <c r="P9">
        <f t="shared" si="4"/>
        <v>14.772696369687887</v>
      </c>
      <c r="Q9">
        <f t="shared" si="5"/>
        <v>3.2649724131346557E-2</v>
      </c>
    </row>
    <row r="10" spans="1:17" x14ac:dyDescent="0.25">
      <c r="A10" t="s">
        <v>25</v>
      </c>
      <c r="B10" s="1">
        <v>-46566</v>
      </c>
      <c r="C10" s="4">
        <v>2604357</v>
      </c>
      <c r="D10" s="4">
        <v>2671202</v>
      </c>
      <c r="E10" s="4">
        <v>-61930</v>
      </c>
      <c r="F10" s="4">
        <v>1107587</v>
      </c>
      <c r="G10" s="4">
        <v>1512301</v>
      </c>
      <c r="H10" s="4">
        <v>1525533</v>
      </c>
      <c r="I10" s="4">
        <v>834853</v>
      </c>
      <c r="J10">
        <v>1</v>
      </c>
      <c r="K10" s="1">
        <v>13084</v>
      </c>
      <c r="L10">
        <f t="shared" si="0"/>
        <v>2637779.5</v>
      </c>
      <c r="M10">
        <f t="shared" si="1"/>
        <v>-1.7653484682855408E-2</v>
      </c>
      <c r="N10">
        <f t="shared" si="2"/>
        <v>1.8273073223669316</v>
      </c>
      <c r="O10">
        <f t="shared" si="3"/>
        <v>0.73238528573346184</v>
      </c>
      <c r="P10">
        <f t="shared" si="4"/>
        <v>14.798039116338465</v>
      </c>
      <c r="Q10">
        <f t="shared" si="5"/>
        <v>-2.3478080711446882E-2</v>
      </c>
    </row>
    <row r="11" spans="1:17" x14ac:dyDescent="0.25">
      <c r="A11" t="s">
        <v>26</v>
      </c>
      <c r="B11" s="1">
        <v>-105213</v>
      </c>
      <c r="C11" s="4">
        <v>2671202</v>
      </c>
      <c r="D11" s="4">
        <v>2525491</v>
      </c>
      <c r="E11" s="4">
        <v>40323</v>
      </c>
      <c r="F11" s="4">
        <v>882748</v>
      </c>
      <c r="G11" s="4">
        <v>1491510</v>
      </c>
      <c r="H11" s="4">
        <v>1495880</v>
      </c>
      <c r="I11" s="4">
        <v>734154</v>
      </c>
      <c r="J11">
        <v>1</v>
      </c>
      <c r="K11" s="1">
        <v>13332</v>
      </c>
      <c r="L11">
        <f t="shared" si="0"/>
        <v>2598346.5</v>
      </c>
      <c r="M11">
        <f t="shared" si="1"/>
        <v>-4.0492290000583062E-2</v>
      </c>
      <c r="N11">
        <f t="shared" si="2"/>
        <v>2.0375561530687021</v>
      </c>
      <c r="O11">
        <f t="shared" si="3"/>
        <v>0.59184852934274657</v>
      </c>
      <c r="P11">
        <f t="shared" si="4"/>
        <v>14.741946057233132</v>
      </c>
      <c r="Q11">
        <f t="shared" si="5"/>
        <v>1.5518715460005045E-2</v>
      </c>
    </row>
    <row r="12" spans="1:17" x14ac:dyDescent="0.25">
      <c r="A12" t="s">
        <v>27</v>
      </c>
      <c r="B12" s="1">
        <v>1060706</v>
      </c>
      <c r="C12" s="4">
        <v>2525491</v>
      </c>
      <c r="D12" s="4">
        <v>3545227</v>
      </c>
      <c r="E12" s="4">
        <v>21499</v>
      </c>
      <c r="F12" s="4">
        <v>844116</v>
      </c>
      <c r="G12" s="4">
        <v>1423396</v>
      </c>
      <c r="H12" s="4">
        <v>1425155</v>
      </c>
      <c r="I12" s="4">
        <v>1794862</v>
      </c>
      <c r="J12">
        <v>1</v>
      </c>
      <c r="K12" s="1">
        <v>14657</v>
      </c>
      <c r="L12">
        <f t="shared" si="0"/>
        <v>3035359</v>
      </c>
      <c r="M12">
        <f t="shared" si="1"/>
        <v>0.34944993326983725</v>
      </c>
      <c r="N12">
        <f t="shared" si="2"/>
        <v>0.79401926164797065</v>
      </c>
      <c r="O12">
        <f t="shared" si="3"/>
        <v>0.59302962773535961</v>
      </c>
      <c r="P12">
        <f t="shared" si="4"/>
        <v>15.08111274974878</v>
      </c>
      <c r="Q12">
        <f t="shared" si="5"/>
        <v>7.0828524731341496E-3</v>
      </c>
    </row>
    <row r="13" spans="1:17" x14ac:dyDescent="0.25">
      <c r="A13" t="s">
        <v>28</v>
      </c>
      <c r="B13" s="1">
        <v>-6756</v>
      </c>
      <c r="C13" s="4">
        <v>3545227</v>
      </c>
      <c r="D13" s="4">
        <v>3702144</v>
      </c>
      <c r="E13" s="4">
        <v>-73814</v>
      </c>
      <c r="F13" s="4">
        <v>892290</v>
      </c>
      <c r="G13" s="4">
        <v>1465327</v>
      </c>
      <c r="H13" s="4">
        <v>1627989</v>
      </c>
      <c r="I13" s="4">
        <v>1788029</v>
      </c>
      <c r="J13">
        <v>1</v>
      </c>
      <c r="K13" s="1">
        <v>13795</v>
      </c>
      <c r="L13">
        <f t="shared" si="0"/>
        <v>3623685.5</v>
      </c>
      <c r="M13">
        <f t="shared" si="1"/>
        <v>-1.8644002080202601E-3</v>
      </c>
      <c r="N13">
        <f t="shared" si="2"/>
        <v>0.91049362174774573</v>
      </c>
      <c r="O13">
        <f t="shared" si="3"/>
        <v>0.60893575290703028</v>
      </c>
      <c r="P13">
        <f t="shared" si="4"/>
        <v>15.124422669252107</v>
      </c>
      <c r="Q13">
        <f t="shared" si="5"/>
        <v>-2.0369869294672511E-2</v>
      </c>
    </row>
    <row r="14" spans="1:17" x14ac:dyDescent="0.25">
      <c r="A14" t="s">
        <v>29</v>
      </c>
      <c r="B14" s="1">
        <v>47106</v>
      </c>
      <c r="C14" s="4">
        <v>3702144</v>
      </c>
      <c r="D14" s="4">
        <v>3735916</v>
      </c>
      <c r="E14" s="4">
        <v>31320</v>
      </c>
      <c r="F14" s="4">
        <v>844229</v>
      </c>
      <c r="G14" s="4">
        <v>1309279</v>
      </c>
      <c r="H14" s="4">
        <v>1633690</v>
      </c>
      <c r="I14" s="4">
        <v>1835211</v>
      </c>
      <c r="J14">
        <v>1</v>
      </c>
      <c r="K14" s="1">
        <v>13276</v>
      </c>
      <c r="L14">
        <f t="shared" si="0"/>
        <v>3719030</v>
      </c>
      <c r="M14">
        <f t="shared" si="1"/>
        <v>1.2666205973062868E-2</v>
      </c>
      <c r="N14">
        <f t="shared" si="2"/>
        <v>0.89019191798654218</v>
      </c>
      <c r="O14">
        <f t="shared" si="3"/>
        <v>0.64480450690800051</v>
      </c>
      <c r="P14">
        <f t="shared" si="4"/>
        <v>15.133503594138061</v>
      </c>
      <c r="Q14">
        <f t="shared" si="5"/>
        <v>8.4215507807143264E-3</v>
      </c>
    </row>
    <row r="15" spans="1:17" x14ac:dyDescent="0.25">
      <c r="A15" t="s">
        <v>30</v>
      </c>
      <c r="B15" s="1">
        <v>-19814</v>
      </c>
      <c r="C15" s="4">
        <v>3735916</v>
      </c>
      <c r="D15" s="4">
        <v>3910250</v>
      </c>
      <c r="E15" s="4">
        <v>39042</v>
      </c>
      <c r="F15" s="4">
        <v>939084</v>
      </c>
      <c r="G15" s="4">
        <v>1234934</v>
      </c>
      <c r="H15" s="4">
        <v>1759899</v>
      </c>
      <c r="I15" s="4">
        <v>1815396</v>
      </c>
      <c r="J15">
        <v>1</v>
      </c>
      <c r="K15" s="1">
        <v>13180</v>
      </c>
      <c r="L15">
        <f t="shared" si="0"/>
        <v>3823083</v>
      </c>
      <c r="M15">
        <f t="shared" si="1"/>
        <v>-5.1827281803717056E-3</v>
      </c>
      <c r="N15">
        <f t="shared" si="2"/>
        <v>0.96942981035542664</v>
      </c>
      <c r="O15">
        <f t="shared" si="3"/>
        <v>0.7604325413341928</v>
      </c>
      <c r="P15">
        <f t="shared" si="4"/>
        <v>15.179111868536488</v>
      </c>
      <c r="Q15">
        <f t="shared" si="5"/>
        <v>1.0212176926318367E-2</v>
      </c>
    </row>
    <row r="16" spans="1:17" x14ac:dyDescent="0.25">
      <c r="A16" t="s">
        <v>31</v>
      </c>
      <c r="B16" s="1">
        <v>-15532</v>
      </c>
      <c r="C16" s="4">
        <v>3910250</v>
      </c>
      <c r="D16" s="4">
        <v>3832284</v>
      </c>
      <c r="E16" s="4">
        <v>-49163</v>
      </c>
      <c r="F16" s="4">
        <v>832313</v>
      </c>
      <c r="G16" s="4">
        <v>1159327</v>
      </c>
      <c r="H16" s="4">
        <v>1776916</v>
      </c>
      <c r="I16" s="4">
        <v>1799862</v>
      </c>
      <c r="J16">
        <v>1</v>
      </c>
      <c r="K16" s="1">
        <v>12998</v>
      </c>
      <c r="L16">
        <f t="shared" si="0"/>
        <v>3871267</v>
      </c>
      <c r="M16">
        <f t="shared" si="1"/>
        <v>-4.0121231627784906E-3</v>
      </c>
      <c r="N16">
        <f t="shared" si="2"/>
        <v>0.98725124481765825</v>
      </c>
      <c r="O16">
        <f t="shared" si="3"/>
        <v>0.71792772875987532</v>
      </c>
      <c r="P16">
        <f t="shared" si="4"/>
        <v>15.158971528061539</v>
      </c>
      <c r="Q16">
        <f t="shared" si="5"/>
        <v>-1.2699459892588137E-2</v>
      </c>
    </row>
    <row r="17" spans="1:17" x14ac:dyDescent="0.25">
      <c r="A17" t="s">
        <v>32</v>
      </c>
      <c r="B17" s="1">
        <v>-97591</v>
      </c>
      <c r="C17" s="4">
        <v>3832284</v>
      </c>
      <c r="D17" s="4">
        <v>3936713</v>
      </c>
      <c r="E17" s="4">
        <v>46016</v>
      </c>
      <c r="F17" s="4">
        <v>997324</v>
      </c>
      <c r="G17" s="4">
        <v>1224501</v>
      </c>
      <c r="H17" s="4">
        <v>1780777</v>
      </c>
      <c r="I17" s="4">
        <v>1839677</v>
      </c>
      <c r="J17">
        <v>1</v>
      </c>
      <c r="K17" s="1">
        <v>13436</v>
      </c>
      <c r="L17">
        <f t="shared" si="0"/>
        <v>3884498.5</v>
      </c>
      <c r="M17">
        <f t="shared" si="1"/>
        <v>-2.5123191578011937E-2</v>
      </c>
      <c r="N17">
        <f t="shared" si="2"/>
        <v>0.96798351014879247</v>
      </c>
      <c r="O17">
        <f t="shared" si="3"/>
        <v>0.81447381423126641</v>
      </c>
      <c r="P17">
        <f t="shared" si="4"/>
        <v>15.185856669122879</v>
      </c>
      <c r="Q17">
        <f t="shared" si="5"/>
        <v>1.1846059407668712E-2</v>
      </c>
    </row>
    <row r="18" spans="1:17" x14ac:dyDescent="0.25">
      <c r="A18" t="s">
        <v>1585</v>
      </c>
      <c r="B18" s="1">
        <v>-14669</v>
      </c>
      <c r="C18" s="4">
        <v>3936713</v>
      </c>
      <c r="D18" s="4">
        <v>3948647</v>
      </c>
      <c r="E18" s="4">
        <v>-13860</v>
      </c>
      <c r="F18" s="4">
        <v>1003885</v>
      </c>
      <c r="G18" s="4">
        <v>1240858</v>
      </c>
      <c r="H18" s="4">
        <v>1860208</v>
      </c>
      <c r="I18" s="4">
        <v>1825009</v>
      </c>
      <c r="J18">
        <v>1</v>
      </c>
      <c r="K18" s="1">
        <v>13321</v>
      </c>
      <c r="L18">
        <f t="shared" ref="L18:L50" si="6">AVERAGE(C18,D18)</f>
        <v>3942680</v>
      </c>
      <c r="M18">
        <f t="shared" ref="M18:M50" si="7">IFERROR(B18/L18,"")</f>
        <v>-3.7205657065752231E-3</v>
      </c>
      <c r="N18">
        <f t="shared" ref="N18:N50" si="8">IFERROR(H18/I18,"")</f>
        <v>1.0192870281735598</v>
      </c>
      <c r="O18">
        <f t="shared" ref="O18:O51" si="9">IFERROR(F18/G18,"")</f>
        <v>0.8090248843945077</v>
      </c>
      <c r="P18">
        <f t="shared" ref="P18:P50" si="10">IFERROR(LN(D18),"")</f>
        <v>15.188883546554372</v>
      </c>
      <c r="Q18">
        <f t="shared" ref="Q18:Q50" si="11">IFERROR(E18/L18,"")</f>
        <v>-3.5153753284567859E-3</v>
      </c>
    </row>
    <row r="19" spans="1:17" x14ac:dyDescent="0.25">
      <c r="A19" t="s">
        <v>1679</v>
      </c>
      <c r="B19" s="1">
        <v>54839</v>
      </c>
      <c r="C19" s="4">
        <v>3948647</v>
      </c>
      <c r="D19" s="4">
        <v>4089326</v>
      </c>
      <c r="E19" s="4">
        <v>-8208</v>
      </c>
      <c r="F19" s="4">
        <v>1039342</v>
      </c>
      <c r="G19" s="4">
        <v>1310411</v>
      </c>
      <c r="H19" s="4">
        <v>1927863</v>
      </c>
      <c r="I19" s="4">
        <v>1879847</v>
      </c>
      <c r="J19">
        <v>1</v>
      </c>
      <c r="K19" s="1">
        <v>13319</v>
      </c>
      <c r="L19">
        <f t="shared" si="6"/>
        <v>4018986.5</v>
      </c>
      <c r="M19">
        <f t="shared" si="7"/>
        <v>1.36449823854845E-2</v>
      </c>
      <c r="N19">
        <f t="shared" si="8"/>
        <v>1.0255425042569954</v>
      </c>
      <c r="O19">
        <f t="shared" si="9"/>
        <v>0.79314199896063142</v>
      </c>
      <c r="P19">
        <f t="shared" si="10"/>
        <v>15.223890722263222</v>
      </c>
      <c r="Q19">
        <f t="shared" si="11"/>
        <v>-2.0423059395695904E-3</v>
      </c>
    </row>
    <row r="20" spans="1:17" x14ac:dyDescent="0.25">
      <c r="A20" t="s">
        <v>1774</v>
      </c>
      <c r="B20" s="1">
        <v>-42680</v>
      </c>
      <c r="C20" s="4">
        <v>4089326</v>
      </c>
      <c r="D20" s="4">
        <v>4020688</v>
      </c>
      <c r="E20" s="4">
        <v>149200</v>
      </c>
      <c r="F20" s="4">
        <v>979946</v>
      </c>
      <c r="G20" s="4">
        <v>1304439</v>
      </c>
      <c r="H20" s="4">
        <v>1814882</v>
      </c>
      <c r="I20" s="4">
        <v>1837169</v>
      </c>
      <c r="J20">
        <v>1</v>
      </c>
      <c r="K20" s="1">
        <v>13492</v>
      </c>
      <c r="L20">
        <f t="shared" si="6"/>
        <v>4055007</v>
      </c>
      <c r="M20">
        <f t="shared" si="7"/>
        <v>-1.0525259265890293E-2</v>
      </c>
      <c r="N20">
        <f t="shared" si="8"/>
        <v>0.98786883514799129</v>
      </c>
      <c r="O20">
        <f t="shared" si="9"/>
        <v>0.7512394216977567</v>
      </c>
      <c r="P20">
        <f t="shared" si="10"/>
        <v>15.2069635902303</v>
      </c>
      <c r="Q20">
        <f t="shared" si="11"/>
        <v>3.6794017864827361E-2</v>
      </c>
    </row>
    <row r="21" spans="1:17" x14ac:dyDescent="0.25">
      <c r="A21" t="s">
        <v>1870</v>
      </c>
      <c r="B21" s="1">
        <v>15642</v>
      </c>
      <c r="C21" s="4">
        <v>4020688</v>
      </c>
      <c r="D21" s="4">
        <v>3441670</v>
      </c>
      <c r="E21" s="4">
        <v>77028</v>
      </c>
      <c r="F21" s="4">
        <v>1008562</v>
      </c>
      <c r="G21" s="4">
        <v>1503312</v>
      </c>
      <c r="H21" s="4">
        <v>1840885</v>
      </c>
      <c r="I21" s="4">
        <v>885913</v>
      </c>
      <c r="J21">
        <v>1</v>
      </c>
      <c r="K21" s="1">
        <v>13548</v>
      </c>
      <c r="L21">
        <f t="shared" si="6"/>
        <v>3731179</v>
      </c>
      <c r="M21">
        <f t="shared" si="7"/>
        <v>4.1922405759680786E-3</v>
      </c>
      <c r="N21">
        <f t="shared" si="8"/>
        <v>2.0779523497228283</v>
      </c>
      <c r="O21">
        <f t="shared" si="9"/>
        <v>0.67089333418478669</v>
      </c>
      <c r="P21">
        <f t="shared" si="10"/>
        <v>15.051467376665794</v>
      </c>
      <c r="Q21">
        <f t="shared" si="11"/>
        <v>2.0644412932212579E-2</v>
      </c>
    </row>
    <row r="22" spans="1:17" x14ac:dyDescent="0.25">
      <c r="A22" t="s">
        <v>1966</v>
      </c>
      <c r="B22" s="1">
        <v>-28837</v>
      </c>
      <c r="C22" s="4">
        <v>3441670</v>
      </c>
      <c r="D22" s="4">
        <v>4104984</v>
      </c>
      <c r="E22" s="4">
        <v>-44626</v>
      </c>
      <c r="F22" s="4">
        <v>983088</v>
      </c>
      <c r="G22" s="4">
        <v>1370875</v>
      </c>
      <c r="H22" s="4">
        <v>1894610</v>
      </c>
      <c r="I22" s="4">
        <v>1823972</v>
      </c>
      <c r="J22">
        <v>0</v>
      </c>
      <c r="K22" s="1">
        <v>13756</v>
      </c>
      <c r="L22">
        <f t="shared" si="6"/>
        <v>3773327</v>
      </c>
      <c r="M22">
        <f t="shared" si="7"/>
        <v>-7.642327314860334E-3</v>
      </c>
      <c r="N22">
        <f t="shared" si="8"/>
        <v>1.0387275681863537</v>
      </c>
      <c r="O22">
        <f t="shared" si="9"/>
        <v>0.71712446430199694</v>
      </c>
      <c r="P22">
        <f t="shared" si="10"/>
        <v>15.227712403175321</v>
      </c>
      <c r="Q22">
        <f t="shared" si="11"/>
        <v>-1.1826698295695019E-2</v>
      </c>
    </row>
    <row r="23" spans="1:17" x14ac:dyDescent="0.25">
      <c r="A23" t="s">
        <v>2060</v>
      </c>
      <c r="B23" s="1">
        <v>-75832</v>
      </c>
      <c r="C23" s="4">
        <v>4104984</v>
      </c>
      <c r="D23" s="4">
        <v>4140345</v>
      </c>
      <c r="E23" s="4">
        <v>-149656</v>
      </c>
      <c r="F23" s="4">
        <v>1025889</v>
      </c>
      <c r="G23" s="4">
        <v>1463345</v>
      </c>
      <c r="H23" s="4">
        <v>2012282</v>
      </c>
      <c r="I23" s="4">
        <v>1748141</v>
      </c>
      <c r="J23">
        <v>0</v>
      </c>
      <c r="K23" s="1">
        <v>14404</v>
      </c>
      <c r="L23">
        <f t="shared" si="6"/>
        <v>4122664.5</v>
      </c>
      <c r="M23">
        <f t="shared" si="7"/>
        <v>-1.8393929459940287E-2</v>
      </c>
      <c r="N23">
        <f t="shared" si="8"/>
        <v>1.1510982237702794</v>
      </c>
      <c r="O23">
        <f t="shared" si="9"/>
        <v>0.70105750865312011</v>
      </c>
      <c r="P23">
        <f t="shared" si="10"/>
        <v>15.236289675662801</v>
      </c>
      <c r="Q23">
        <f t="shared" si="11"/>
        <v>-3.6300795274512396E-2</v>
      </c>
    </row>
    <row r="24" spans="1:17" x14ac:dyDescent="0.25">
      <c r="A24" t="s">
        <v>2155</v>
      </c>
      <c r="B24" s="1">
        <v>-69887</v>
      </c>
      <c r="C24" s="4">
        <v>4140345</v>
      </c>
      <c r="D24" s="4">
        <v>4035567</v>
      </c>
      <c r="E24" s="4">
        <v>33871</v>
      </c>
      <c r="F24" s="4">
        <v>916986</v>
      </c>
      <c r="G24" s="4">
        <v>1396324</v>
      </c>
      <c r="H24" s="4">
        <v>2032529</v>
      </c>
      <c r="I24" s="4">
        <v>1678253</v>
      </c>
      <c r="J24">
        <v>0</v>
      </c>
      <c r="K24" s="1">
        <v>14929</v>
      </c>
      <c r="L24">
        <f t="shared" si="6"/>
        <v>4087956</v>
      </c>
      <c r="M24">
        <f t="shared" si="7"/>
        <v>-1.7095829798559475E-2</v>
      </c>
      <c r="N24">
        <f t="shared" si="8"/>
        <v>1.2110980883096887</v>
      </c>
      <c r="O24">
        <f t="shared" si="9"/>
        <v>0.65671434423529207</v>
      </c>
      <c r="P24">
        <f t="shared" si="10"/>
        <v>15.210657370260209</v>
      </c>
      <c r="Q24">
        <f t="shared" si="11"/>
        <v>8.2855588465237887E-3</v>
      </c>
    </row>
    <row r="25" spans="1:17" x14ac:dyDescent="0.25">
      <c r="A25" t="s">
        <v>2251</v>
      </c>
      <c r="B25" s="1">
        <v>111412</v>
      </c>
      <c r="C25" s="4">
        <v>4035567</v>
      </c>
      <c r="D25" s="4">
        <v>3582502</v>
      </c>
      <c r="E25" s="4">
        <v>80260</v>
      </c>
      <c r="F25" s="4">
        <v>961072</v>
      </c>
      <c r="G25" s="4">
        <v>1783672</v>
      </c>
      <c r="H25" s="4">
        <v>2123210</v>
      </c>
      <c r="I25" s="4">
        <v>814001</v>
      </c>
      <c r="J25">
        <v>0</v>
      </c>
      <c r="K25" s="1">
        <v>14481</v>
      </c>
      <c r="L25">
        <f t="shared" si="6"/>
        <v>3809034.5</v>
      </c>
      <c r="M25">
        <f t="shared" si="7"/>
        <v>2.9249406903507962E-2</v>
      </c>
      <c r="N25">
        <f t="shared" si="8"/>
        <v>2.6083628889890798</v>
      </c>
      <c r="O25">
        <f t="shared" si="9"/>
        <v>0.53881655371615411</v>
      </c>
      <c r="P25">
        <f t="shared" si="10"/>
        <v>15.091571996953673</v>
      </c>
      <c r="Q25">
        <f t="shared" si="11"/>
        <v>2.1070956432660298E-2</v>
      </c>
    </row>
    <row r="26" spans="1:17" x14ac:dyDescent="0.25">
      <c r="A26" t="s">
        <v>2347</v>
      </c>
      <c r="B26" s="1">
        <v>-39539</v>
      </c>
      <c r="C26" s="4">
        <v>3582502</v>
      </c>
      <c r="D26" s="4">
        <v>4162076</v>
      </c>
      <c r="E26" s="4">
        <v>20311</v>
      </c>
      <c r="F26" s="4">
        <v>771349</v>
      </c>
      <c r="G26" s="4">
        <v>1432700</v>
      </c>
      <c r="H26" s="4">
        <v>2102619</v>
      </c>
      <c r="I26" s="4">
        <v>1760674</v>
      </c>
      <c r="J26">
        <v>0</v>
      </c>
      <c r="K26" s="1">
        <v>14244</v>
      </c>
      <c r="L26">
        <f t="shared" si="6"/>
        <v>3872289</v>
      </c>
      <c r="M26">
        <f t="shared" si="7"/>
        <v>-1.0210756480211058E-2</v>
      </c>
      <c r="N26">
        <f t="shared" si="8"/>
        <v>1.1942125572366038</v>
      </c>
      <c r="O26">
        <f t="shared" si="9"/>
        <v>0.53838835764640192</v>
      </c>
      <c r="P26">
        <f t="shared" si="10"/>
        <v>15.241524546220703</v>
      </c>
      <c r="Q26">
        <f t="shared" si="11"/>
        <v>5.2452180092963105E-3</v>
      </c>
    </row>
    <row r="27" spans="1:17" x14ac:dyDescent="0.25">
      <c r="A27" t="s">
        <v>2441</v>
      </c>
      <c r="B27" s="1">
        <v>-61906</v>
      </c>
      <c r="C27" s="4">
        <v>4162076</v>
      </c>
      <c r="D27" s="4">
        <v>4270829</v>
      </c>
      <c r="E27" s="4">
        <v>93887</v>
      </c>
      <c r="F27" s="4">
        <v>848840</v>
      </c>
      <c r="G27" s="4">
        <v>1663600</v>
      </c>
      <c r="H27" s="4">
        <v>2173144</v>
      </c>
      <c r="I27" s="4">
        <v>1698767</v>
      </c>
      <c r="J27">
        <v>0</v>
      </c>
      <c r="K27" s="1">
        <v>14141</v>
      </c>
      <c r="L27">
        <f t="shared" si="6"/>
        <v>4216452.5</v>
      </c>
      <c r="M27">
        <f t="shared" si="7"/>
        <v>-1.4682010528993272E-2</v>
      </c>
      <c r="N27">
        <f t="shared" si="8"/>
        <v>1.2792478309267838</v>
      </c>
      <c r="O27">
        <f t="shared" si="9"/>
        <v>0.51024284683818222</v>
      </c>
      <c r="P27">
        <f t="shared" si="10"/>
        <v>15.267318511560131</v>
      </c>
      <c r="Q27">
        <f t="shared" si="11"/>
        <v>2.2266822642968229E-2</v>
      </c>
    </row>
    <row r="28" spans="1:17" x14ac:dyDescent="0.25">
      <c r="A28" t="s">
        <v>2536</v>
      </c>
      <c r="B28" s="1">
        <v>-84232</v>
      </c>
      <c r="C28" s="4">
        <v>4270829</v>
      </c>
      <c r="D28" s="4">
        <v>4297548</v>
      </c>
      <c r="E28" s="4">
        <v>7858</v>
      </c>
      <c r="F28" s="4">
        <v>1114015</v>
      </c>
      <c r="G28" s="4">
        <v>1034494</v>
      </c>
      <c r="H28" s="4">
        <v>2209292</v>
      </c>
      <c r="I28" s="4">
        <v>1614535</v>
      </c>
      <c r="J28">
        <v>0</v>
      </c>
      <c r="K28" s="1">
        <v>14174</v>
      </c>
      <c r="L28">
        <f t="shared" si="6"/>
        <v>4284188.5</v>
      </c>
      <c r="M28">
        <f t="shared" si="7"/>
        <v>-1.9661133024375561E-2</v>
      </c>
      <c r="N28">
        <f t="shared" si="8"/>
        <v>1.3683766533398161</v>
      </c>
      <c r="O28">
        <f t="shared" si="9"/>
        <v>1.0768694646851504</v>
      </c>
      <c r="P28">
        <f t="shared" si="10"/>
        <v>15.273555185461234</v>
      </c>
      <c r="Q28">
        <f t="shared" si="11"/>
        <v>1.8341863342380943E-3</v>
      </c>
    </row>
    <row r="29" spans="1:17" x14ac:dyDescent="0.25">
      <c r="A29" t="s">
        <v>2632</v>
      </c>
      <c r="B29" s="1">
        <v>-281084</v>
      </c>
      <c r="C29" s="4">
        <v>4297548</v>
      </c>
      <c r="D29" s="4">
        <v>3288037</v>
      </c>
      <c r="E29" s="4">
        <v>54069</v>
      </c>
      <c r="F29" s="4">
        <v>690608</v>
      </c>
      <c r="G29" s="4">
        <v>2494040</v>
      </c>
      <c r="H29" s="4">
        <v>2160366</v>
      </c>
      <c r="I29" s="4">
        <v>347240</v>
      </c>
      <c r="J29">
        <v>0</v>
      </c>
      <c r="K29" s="1">
        <v>13901</v>
      </c>
      <c r="L29">
        <f t="shared" si="6"/>
        <v>3792792.5</v>
      </c>
      <c r="M29">
        <f t="shared" si="7"/>
        <v>-7.4110038975240544E-2</v>
      </c>
      <c r="N29">
        <f t="shared" si="8"/>
        <v>6.2215355373804861</v>
      </c>
      <c r="O29">
        <f t="shared" si="9"/>
        <v>0.27690333755673524</v>
      </c>
      <c r="P29">
        <f t="shared" si="10"/>
        <v>15.005801288136254</v>
      </c>
      <c r="Q29">
        <f t="shared" si="11"/>
        <v>1.4255723190762478E-2</v>
      </c>
    </row>
    <row r="30" spans="1:17" x14ac:dyDescent="0.25">
      <c r="A30" t="s">
        <v>2728</v>
      </c>
      <c r="B30" s="1">
        <v>-156712</v>
      </c>
      <c r="C30" s="4">
        <v>3288037</v>
      </c>
      <c r="D30" s="4">
        <v>2929603</v>
      </c>
      <c r="E30" s="4">
        <v>9960</v>
      </c>
      <c r="F30" s="4">
        <v>593735</v>
      </c>
      <c r="G30" s="4">
        <v>806584</v>
      </c>
      <c r="H30" s="4">
        <v>2015825</v>
      </c>
      <c r="I30" s="4">
        <v>199294</v>
      </c>
      <c r="J30">
        <v>0</v>
      </c>
      <c r="K30" s="1">
        <v>16367</v>
      </c>
      <c r="L30">
        <f t="shared" si="6"/>
        <v>3108820</v>
      </c>
      <c r="M30">
        <f t="shared" si="7"/>
        <v>-5.0408836793381415E-2</v>
      </c>
      <c r="N30">
        <f t="shared" si="8"/>
        <v>10.114830351139522</v>
      </c>
      <c r="O30">
        <f t="shared" si="9"/>
        <v>0.7361105600904555</v>
      </c>
      <c r="P30">
        <f t="shared" si="10"/>
        <v>14.890377476932443</v>
      </c>
      <c r="Q30">
        <f t="shared" si="11"/>
        <v>3.203787932398788E-3</v>
      </c>
    </row>
    <row r="31" spans="1:17" x14ac:dyDescent="0.25">
      <c r="A31" t="s">
        <v>2823</v>
      </c>
      <c r="B31" s="1">
        <v>272037</v>
      </c>
      <c r="C31" s="4">
        <v>2929603</v>
      </c>
      <c r="D31" s="4">
        <v>3324157</v>
      </c>
      <c r="E31" s="4">
        <v>-17769</v>
      </c>
      <c r="F31" s="4">
        <v>622285</v>
      </c>
      <c r="G31" s="4">
        <v>808726</v>
      </c>
      <c r="H31" s="4">
        <v>2147087</v>
      </c>
      <c r="I31" s="4">
        <v>471333</v>
      </c>
      <c r="J31">
        <v>0</v>
      </c>
      <c r="K31" s="1">
        <v>14302</v>
      </c>
      <c r="L31">
        <f t="shared" si="6"/>
        <v>3126880</v>
      </c>
      <c r="M31">
        <f t="shared" si="7"/>
        <v>8.6999501100138155E-2</v>
      </c>
      <c r="N31">
        <f t="shared" si="8"/>
        <v>4.5553504634727462</v>
      </c>
      <c r="O31">
        <f t="shared" si="9"/>
        <v>0.76946332874174939</v>
      </c>
      <c r="P31">
        <f t="shared" si="10"/>
        <v>15.016726666092369</v>
      </c>
      <c r="Q31">
        <f t="shared" si="11"/>
        <v>-5.6826613109553295E-3</v>
      </c>
    </row>
    <row r="32" spans="1:17" x14ac:dyDescent="0.25">
      <c r="A32" t="s">
        <v>2918</v>
      </c>
      <c r="B32" s="1">
        <v>-49942</v>
      </c>
      <c r="C32" s="4">
        <v>3324157</v>
      </c>
      <c r="D32" s="4">
        <v>3220364</v>
      </c>
      <c r="E32" s="4">
        <v>52456</v>
      </c>
      <c r="F32" s="4">
        <v>572816</v>
      </c>
      <c r="G32" s="4">
        <v>1100737</v>
      </c>
      <c r="H32" s="4">
        <v>2083456</v>
      </c>
      <c r="I32" s="4">
        <v>412779</v>
      </c>
      <c r="J32">
        <v>0</v>
      </c>
      <c r="K32" s="1">
        <v>14918</v>
      </c>
      <c r="L32">
        <f t="shared" si="6"/>
        <v>3272260.5</v>
      </c>
      <c r="M32">
        <f t="shared" si="7"/>
        <v>-1.5262232331441828E-2</v>
      </c>
      <c r="N32">
        <f t="shared" si="8"/>
        <v>5.0473885541657886</v>
      </c>
      <c r="O32">
        <f t="shared" si="9"/>
        <v>0.52039315476812353</v>
      </c>
      <c r="P32">
        <f t="shared" si="10"/>
        <v>14.98500495460992</v>
      </c>
      <c r="Q32">
        <f t="shared" si="11"/>
        <v>1.6030508573507518E-2</v>
      </c>
    </row>
    <row r="33" spans="1:17" x14ac:dyDescent="0.25">
      <c r="A33" t="s">
        <v>3014</v>
      </c>
      <c r="B33" s="1">
        <v>-11448</v>
      </c>
      <c r="C33" s="4">
        <v>3220364</v>
      </c>
      <c r="D33" s="4">
        <v>3486349</v>
      </c>
      <c r="E33" s="4">
        <v>26180</v>
      </c>
      <c r="F33" s="4">
        <v>835342</v>
      </c>
      <c r="G33" s="4">
        <v>827496</v>
      </c>
      <c r="H33" s="4">
        <v>2412548</v>
      </c>
      <c r="I33" s="4">
        <v>532209</v>
      </c>
      <c r="J33">
        <v>0</v>
      </c>
      <c r="K33" s="1">
        <v>14105</v>
      </c>
      <c r="L33">
        <f t="shared" si="6"/>
        <v>3353356.5</v>
      </c>
      <c r="M33">
        <f t="shared" si="7"/>
        <v>-3.4138929159485431E-3</v>
      </c>
      <c r="N33">
        <f t="shared" si="8"/>
        <v>4.5330838073012671</v>
      </c>
      <c r="O33">
        <f t="shared" si="9"/>
        <v>1.0094816168295677</v>
      </c>
      <c r="P33">
        <f t="shared" si="10"/>
        <v>15.06436561479565</v>
      </c>
      <c r="Q33">
        <f t="shared" si="11"/>
        <v>7.8071031219018915E-3</v>
      </c>
    </row>
    <row r="34" spans="1:17" x14ac:dyDescent="0.25">
      <c r="A34" t="s">
        <v>3110</v>
      </c>
      <c r="B34" s="1">
        <v>16599</v>
      </c>
      <c r="C34" s="4">
        <v>3486349</v>
      </c>
      <c r="D34" s="4">
        <v>3454929</v>
      </c>
      <c r="E34" s="4">
        <v>23744</v>
      </c>
      <c r="F34" s="4">
        <v>817839</v>
      </c>
      <c r="G34" s="4">
        <v>776649</v>
      </c>
      <c r="H34" s="4">
        <v>2356629</v>
      </c>
      <c r="I34" s="4">
        <v>465321</v>
      </c>
      <c r="J34">
        <v>0</v>
      </c>
      <c r="K34" s="1">
        <v>14572</v>
      </c>
      <c r="L34">
        <f t="shared" si="6"/>
        <v>3470639</v>
      </c>
      <c r="M34">
        <f t="shared" si="7"/>
        <v>4.7826927548500434E-3</v>
      </c>
      <c r="N34">
        <f t="shared" si="8"/>
        <v>5.0645232001134701</v>
      </c>
      <c r="O34">
        <f t="shared" si="9"/>
        <v>1.0530355411517944</v>
      </c>
      <c r="P34">
        <f t="shared" si="10"/>
        <v>15.055312465045114</v>
      </c>
      <c r="Q34">
        <f t="shared" si="11"/>
        <v>6.8413914555792172E-3</v>
      </c>
    </row>
    <row r="35" spans="1:17" x14ac:dyDescent="0.25">
      <c r="A35" t="s">
        <v>3204</v>
      </c>
      <c r="B35" s="1">
        <v>22881</v>
      </c>
      <c r="C35" s="4">
        <v>3454929</v>
      </c>
      <c r="D35" s="4">
        <v>3590753</v>
      </c>
      <c r="E35" s="4">
        <v>-40978</v>
      </c>
      <c r="F35" s="4">
        <v>947221</v>
      </c>
      <c r="G35" s="4">
        <v>948557</v>
      </c>
      <c r="H35" s="4">
        <v>2420933</v>
      </c>
      <c r="I35" s="4">
        <v>408995</v>
      </c>
      <c r="J35">
        <v>0</v>
      </c>
      <c r="K35" s="1">
        <v>14542</v>
      </c>
      <c r="L35">
        <f t="shared" si="6"/>
        <v>3522841</v>
      </c>
      <c r="M35">
        <f t="shared" si="7"/>
        <v>6.4950419278076987E-3</v>
      </c>
      <c r="N35">
        <f t="shared" si="8"/>
        <v>5.9192239513930485</v>
      </c>
      <c r="O35">
        <f t="shared" si="9"/>
        <v>0.99859154484126944</v>
      </c>
      <c r="P35">
        <f t="shared" si="10"/>
        <v>15.093872487773773</v>
      </c>
      <c r="Q35">
        <f t="shared" si="11"/>
        <v>-1.1632088987269081E-2</v>
      </c>
    </row>
    <row r="36" spans="1:17" x14ac:dyDescent="0.25">
      <c r="A36" t="s">
        <v>3299</v>
      </c>
      <c r="B36" s="1">
        <v>16128</v>
      </c>
      <c r="C36" s="4">
        <v>3590753</v>
      </c>
      <c r="D36" s="4">
        <v>3742961</v>
      </c>
      <c r="E36" s="4">
        <v>-33118</v>
      </c>
      <c r="F36" s="4">
        <v>1050307</v>
      </c>
      <c r="G36" s="4">
        <v>1564953</v>
      </c>
      <c r="H36" s="4">
        <v>2578689</v>
      </c>
      <c r="I36" s="4">
        <v>420932</v>
      </c>
      <c r="J36">
        <v>0</v>
      </c>
      <c r="K36" s="1">
        <v>14321</v>
      </c>
      <c r="L36">
        <f t="shared" si="6"/>
        <v>3666857</v>
      </c>
      <c r="M36">
        <f t="shared" si="7"/>
        <v>4.3983171419010886E-3</v>
      </c>
      <c r="N36">
        <f t="shared" si="8"/>
        <v>6.1261415145439164</v>
      </c>
      <c r="O36">
        <f t="shared" si="9"/>
        <v>0.67114283943351649</v>
      </c>
      <c r="P36">
        <f t="shared" si="10"/>
        <v>15.135387567382644</v>
      </c>
      <c r="Q36">
        <f t="shared" si="11"/>
        <v>-9.0317129901711472E-3</v>
      </c>
    </row>
    <row r="37" spans="1:17" x14ac:dyDescent="0.25">
      <c r="A37" t="s">
        <v>3395</v>
      </c>
      <c r="B37" s="1">
        <v>-787</v>
      </c>
      <c r="C37" s="4">
        <v>3742961</v>
      </c>
      <c r="D37" s="4">
        <v>3773676</v>
      </c>
      <c r="E37" s="4">
        <v>170237</v>
      </c>
      <c r="F37" s="4">
        <v>973082</v>
      </c>
      <c r="G37" s="4">
        <v>1486779</v>
      </c>
      <c r="H37" s="4">
        <v>2281709</v>
      </c>
      <c r="I37" s="4">
        <v>587194</v>
      </c>
      <c r="J37">
        <v>0</v>
      </c>
      <c r="K37" s="1">
        <v>14278</v>
      </c>
      <c r="L37">
        <f t="shared" si="6"/>
        <v>3758318.5</v>
      </c>
      <c r="M37">
        <f t="shared" si="7"/>
        <v>-2.0940215684221548E-4</v>
      </c>
      <c r="N37">
        <f t="shared" si="8"/>
        <v>3.8857839146857769</v>
      </c>
      <c r="O37">
        <f t="shared" si="9"/>
        <v>0.65449000826619153</v>
      </c>
      <c r="P37">
        <f t="shared" si="10"/>
        <v>15.143560150668824</v>
      </c>
      <c r="Q37">
        <f t="shared" si="11"/>
        <v>4.5296054605270947E-2</v>
      </c>
    </row>
    <row r="38" spans="1:17" x14ac:dyDescent="0.25">
      <c r="A38" t="s">
        <v>3491</v>
      </c>
      <c r="B38" s="1">
        <v>34602</v>
      </c>
      <c r="C38" s="4">
        <v>3773676</v>
      </c>
      <c r="D38" s="4">
        <v>3915316</v>
      </c>
      <c r="E38" s="4">
        <v>67000</v>
      </c>
      <c r="F38" s="4">
        <v>1102769</v>
      </c>
      <c r="G38" s="4">
        <v>1581209</v>
      </c>
      <c r="H38" s="4">
        <v>2289288</v>
      </c>
      <c r="I38" s="4">
        <v>556579</v>
      </c>
      <c r="J38">
        <v>0</v>
      </c>
      <c r="K38" s="1">
        <v>14357</v>
      </c>
      <c r="L38">
        <f t="shared" si="6"/>
        <v>3844496</v>
      </c>
      <c r="M38">
        <f t="shared" si="7"/>
        <v>9.0003995322143655E-3</v>
      </c>
      <c r="N38">
        <f t="shared" si="8"/>
        <v>4.1131411713341679</v>
      </c>
      <c r="O38">
        <f t="shared" si="9"/>
        <v>0.6974214034956796</v>
      </c>
      <c r="P38">
        <f t="shared" si="10"/>
        <v>15.1804065993477</v>
      </c>
      <c r="Q38">
        <f t="shared" si="11"/>
        <v>1.7427511954752978E-2</v>
      </c>
    </row>
    <row r="39" spans="1:17" x14ac:dyDescent="0.25">
      <c r="A39" t="s">
        <v>3585</v>
      </c>
      <c r="B39" s="1">
        <v>30858</v>
      </c>
      <c r="C39" s="4">
        <v>3915316</v>
      </c>
      <c r="D39" s="4">
        <v>3892740</v>
      </c>
      <c r="E39" s="4">
        <v>6672</v>
      </c>
      <c r="F39" s="4">
        <v>1081099</v>
      </c>
      <c r="G39" s="4">
        <v>1549685</v>
      </c>
      <c r="H39" s="4">
        <v>2290177</v>
      </c>
      <c r="I39" s="4">
        <v>587437</v>
      </c>
      <c r="J39">
        <v>0</v>
      </c>
      <c r="K39" s="1">
        <v>14882</v>
      </c>
      <c r="L39">
        <f t="shared" si="6"/>
        <v>3904028</v>
      </c>
      <c r="M39">
        <f t="shared" si="7"/>
        <v>7.9041441301138209E-3</v>
      </c>
      <c r="N39">
        <f t="shared" si="8"/>
        <v>3.898591678767255</v>
      </c>
      <c r="O39">
        <f t="shared" si="9"/>
        <v>0.69762500120992332</v>
      </c>
      <c r="P39">
        <f t="shared" si="10"/>
        <v>15.174623837822329</v>
      </c>
      <c r="Q39">
        <f t="shared" si="11"/>
        <v>1.7090041362408262E-3</v>
      </c>
    </row>
    <row r="40" spans="1:17" x14ac:dyDescent="0.25">
      <c r="A40" t="s">
        <v>3680</v>
      </c>
      <c r="B40" s="1">
        <v>-29146</v>
      </c>
      <c r="C40" s="4">
        <v>3892740</v>
      </c>
      <c r="D40" s="4">
        <v>3729902</v>
      </c>
      <c r="E40" s="4">
        <v>64693</v>
      </c>
      <c r="F40" s="4">
        <v>941511</v>
      </c>
      <c r="G40" s="4">
        <v>1424860</v>
      </c>
      <c r="H40" s="4">
        <v>2182378</v>
      </c>
      <c r="I40" s="4">
        <v>558122</v>
      </c>
      <c r="J40">
        <v>0</v>
      </c>
      <c r="K40" s="1">
        <v>15232</v>
      </c>
      <c r="L40">
        <f t="shared" si="6"/>
        <v>3811321</v>
      </c>
      <c r="M40">
        <f t="shared" si="7"/>
        <v>-7.6472173296345284E-3</v>
      </c>
      <c r="N40">
        <f t="shared" si="8"/>
        <v>3.9102167626432931</v>
      </c>
      <c r="O40">
        <f t="shared" si="9"/>
        <v>0.66077439187007847</v>
      </c>
      <c r="P40">
        <f t="shared" si="10"/>
        <v>15.1318925178164</v>
      </c>
      <c r="Q40">
        <f t="shared" si="11"/>
        <v>1.6973904848214046E-2</v>
      </c>
    </row>
    <row r="41" spans="1:17" x14ac:dyDescent="0.25">
      <c r="A41" t="s">
        <v>3776</v>
      </c>
      <c r="B41" s="1">
        <v>-70656</v>
      </c>
      <c r="C41" s="4">
        <v>3729902</v>
      </c>
      <c r="D41" s="4">
        <v>3162434</v>
      </c>
      <c r="E41" s="4">
        <v>168210</v>
      </c>
      <c r="F41" s="4">
        <v>1072512</v>
      </c>
      <c r="G41" s="4">
        <v>2399612</v>
      </c>
      <c r="H41" s="4">
        <v>2069277</v>
      </c>
      <c r="I41" s="4">
        <v>552586</v>
      </c>
      <c r="J41">
        <v>0</v>
      </c>
      <c r="K41" s="1">
        <v>15592</v>
      </c>
      <c r="L41">
        <f t="shared" si="6"/>
        <v>3446168</v>
      </c>
      <c r="M41">
        <f t="shared" si="7"/>
        <v>-2.0502772935039732E-2</v>
      </c>
      <c r="N41">
        <f t="shared" si="8"/>
        <v>3.7447148498152325</v>
      </c>
      <c r="O41">
        <f t="shared" si="9"/>
        <v>0.44695225728159388</v>
      </c>
      <c r="P41">
        <f t="shared" si="10"/>
        <v>14.966852542234923</v>
      </c>
      <c r="Q41">
        <f t="shared" si="11"/>
        <v>4.8810737027330069E-2</v>
      </c>
    </row>
    <row r="42" spans="1:17" x14ac:dyDescent="0.25">
      <c r="A42" t="s">
        <v>3872</v>
      </c>
      <c r="B42" s="1">
        <v>8215</v>
      </c>
      <c r="C42" s="4">
        <v>3162434</v>
      </c>
      <c r="D42" s="4">
        <v>3147681</v>
      </c>
      <c r="E42" s="4">
        <v>102086</v>
      </c>
      <c r="F42" s="4">
        <v>940138</v>
      </c>
      <c r="G42" s="4">
        <v>2322084</v>
      </c>
      <c r="H42" s="4">
        <v>1898225</v>
      </c>
      <c r="I42" s="4">
        <v>617472</v>
      </c>
      <c r="J42">
        <v>0</v>
      </c>
      <c r="K42" s="1">
        <v>14977</v>
      </c>
      <c r="L42">
        <f t="shared" si="6"/>
        <v>3155057.5</v>
      </c>
      <c r="M42">
        <f t="shared" si="7"/>
        <v>2.6037560329724577E-3</v>
      </c>
      <c r="N42">
        <f t="shared" si="8"/>
        <v>3.0741879793739635</v>
      </c>
      <c r="O42">
        <f t="shared" si="9"/>
        <v>0.40486821320847999</v>
      </c>
      <c r="P42">
        <f t="shared" si="10"/>
        <v>14.962176549204344</v>
      </c>
      <c r="Q42">
        <f t="shared" si="11"/>
        <v>3.2356304124409777E-2</v>
      </c>
    </row>
    <row r="43" spans="1:17" x14ac:dyDescent="0.25">
      <c r="A43" t="s">
        <v>3966</v>
      </c>
      <c r="B43" s="1">
        <v>-16134</v>
      </c>
      <c r="C43" s="4">
        <v>3147681</v>
      </c>
      <c r="D43" s="4">
        <v>3021803</v>
      </c>
      <c r="E43" s="4">
        <v>99531</v>
      </c>
      <c r="F43" s="4">
        <v>790688</v>
      </c>
      <c r="G43" s="4">
        <v>2188905</v>
      </c>
      <c r="H43" s="4">
        <v>1856092</v>
      </c>
      <c r="I43" s="4">
        <v>601252</v>
      </c>
      <c r="J43">
        <v>0</v>
      </c>
      <c r="K43" s="1">
        <v>15026</v>
      </c>
      <c r="L43">
        <f t="shared" si="6"/>
        <v>3084742</v>
      </c>
      <c r="M43">
        <f t="shared" si="7"/>
        <v>-5.2302591270193743E-3</v>
      </c>
      <c r="N43">
        <f t="shared" si="8"/>
        <v>3.0870450326984358</v>
      </c>
      <c r="O43">
        <f t="shared" si="9"/>
        <v>0.36122536153921708</v>
      </c>
      <c r="P43">
        <f t="shared" si="10"/>
        <v>14.921364231073142</v>
      </c>
      <c r="Q43">
        <f t="shared" si="11"/>
        <v>3.2265583312964259E-2</v>
      </c>
    </row>
    <row r="44" spans="1:17" x14ac:dyDescent="0.25">
      <c r="A44" t="s">
        <v>4061</v>
      </c>
      <c r="B44" s="1">
        <v>-38657</v>
      </c>
      <c r="C44" s="4">
        <v>3021803</v>
      </c>
      <c r="D44" s="4">
        <v>2922908</v>
      </c>
      <c r="E44" s="4">
        <v>1898</v>
      </c>
      <c r="F44" s="4">
        <v>726021</v>
      </c>
      <c r="G44" s="4">
        <v>2089277</v>
      </c>
      <c r="H44" s="4">
        <v>1866009</v>
      </c>
      <c r="I44" s="4">
        <v>557248</v>
      </c>
      <c r="J44">
        <v>0</v>
      </c>
      <c r="K44" s="1">
        <v>15526</v>
      </c>
      <c r="L44">
        <f t="shared" si="6"/>
        <v>2972355.5</v>
      </c>
      <c r="M44">
        <f t="shared" si="7"/>
        <v>-1.3005510276277518E-2</v>
      </c>
      <c r="N44">
        <f t="shared" si="8"/>
        <v>3.3486149793269782</v>
      </c>
      <c r="O44">
        <f t="shared" si="9"/>
        <v>0.34749868016543523</v>
      </c>
      <c r="P44">
        <f t="shared" si="10"/>
        <v>14.888089569085563</v>
      </c>
      <c r="Q44">
        <f>IFERROR(E44/L44,"")</f>
        <v>6.385508059180673E-4</v>
      </c>
    </row>
    <row r="45" spans="1:17" x14ac:dyDescent="0.25">
      <c r="A45" t="s">
        <v>4157</v>
      </c>
      <c r="B45" s="1">
        <v>-21404</v>
      </c>
      <c r="C45" s="4">
        <v>2922908</v>
      </c>
      <c r="D45" s="4">
        <v>2849189</v>
      </c>
      <c r="E45" s="4">
        <v>-39359</v>
      </c>
      <c r="F45" s="4">
        <v>671351</v>
      </c>
      <c r="G45" s="4">
        <v>2161904</v>
      </c>
      <c r="H45" s="4">
        <v>1821723</v>
      </c>
      <c r="I45" s="4">
        <v>496801</v>
      </c>
      <c r="J45">
        <v>0</v>
      </c>
      <c r="K45" s="1">
        <v>15416</v>
      </c>
      <c r="L45">
        <f t="shared" si="6"/>
        <v>2886048.5</v>
      </c>
      <c r="M45">
        <f t="shared" si="7"/>
        <v>-7.4163687824373012E-3</v>
      </c>
      <c r="N45">
        <f t="shared" si="8"/>
        <v>3.6669068701552532</v>
      </c>
      <c r="O45">
        <f t="shared" si="9"/>
        <v>0.31053691560772356</v>
      </c>
      <c r="P45">
        <f t="shared" si="10"/>
        <v>14.862544950346045</v>
      </c>
      <c r="Q45">
        <f>IFERROR(E45/L45,"")</f>
        <v>-1.3637677953090533E-2</v>
      </c>
    </row>
    <row r="46" spans="1:17" x14ac:dyDescent="0.25">
      <c r="A46" t="s">
        <v>4253</v>
      </c>
      <c r="B46" s="1">
        <v>-37066</v>
      </c>
      <c r="C46" s="4">
        <v>2849189</v>
      </c>
      <c r="D46" s="4">
        <v>2794250</v>
      </c>
      <c r="E46" s="4">
        <v>-20577</v>
      </c>
      <c r="F46" s="4">
        <v>631122</v>
      </c>
      <c r="G46" s="4">
        <v>2107769</v>
      </c>
      <c r="H46" s="4">
        <v>1816376</v>
      </c>
      <c r="I46" s="4">
        <v>459735</v>
      </c>
      <c r="J46">
        <v>0</v>
      </c>
      <c r="K46" s="1">
        <v>15853</v>
      </c>
      <c r="L46">
        <f t="shared" si="6"/>
        <v>2821719.5</v>
      </c>
      <c r="M46">
        <f t="shared" si="7"/>
        <v>-1.3135961955112831E-2</v>
      </c>
      <c r="N46">
        <f t="shared" si="8"/>
        <v>3.9509195514807445</v>
      </c>
      <c r="O46">
        <f t="shared" si="9"/>
        <v>0.29942655006312363</v>
      </c>
      <c r="P46">
        <f t="shared" si="10"/>
        <v>14.843074292247858</v>
      </c>
      <c r="Q46">
        <f t="shared" si="11"/>
        <v>-7.292361979991278E-3</v>
      </c>
    </row>
    <row r="47" spans="1:17" x14ac:dyDescent="0.25">
      <c r="A47" t="s">
        <v>4348</v>
      </c>
      <c r="B47" s="1">
        <v>-47065</v>
      </c>
      <c r="C47" s="4">
        <v>2794250</v>
      </c>
      <c r="D47" s="4">
        <v>2715376</v>
      </c>
      <c r="E47" s="4">
        <v>18273</v>
      </c>
      <c r="F47" s="4">
        <v>590600</v>
      </c>
      <c r="G47" s="4">
        <v>2076544</v>
      </c>
      <c r="H47" s="4">
        <v>1827893</v>
      </c>
      <c r="I47" s="4">
        <v>412670</v>
      </c>
      <c r="J47">
        <v>0</v>
      </c>
      <c r="K47" s="1">
        <v>16421</v>
      </c>
      <c r="L47">
        <f t="shared" si="6"/>
        <v>2754813</v>
      </c>
      <c r="M47">
        <f t="shared" si="7"/>
        <v>-1.708464422086E-2</v>
      </c>
      <c r="N47">
        <f t="shared" si="8"/>
        <v>4.4294302953934137</v>
      </c>
      <c r="O47">
        <f t="shared" si="9"/>
        <v>0.2844148739443999</v>
      </c>
      <c r="P47">
        <f t="shared" si="10"/>
        <v>14.814440991632422</v>
      </c>
      <c r="Q47">
        <f t="shared" si="11"/>
        <v>6.6331181100132749E-3</v>
      </c>
    </row>
    <row r="48" spans="1:17" x14ac:dyDescent="0.25">
      <c r="A48" t="s">
        <v>4443</v>
      </c>
      <c r="B48" s="1">
        <v>-89161</v>
      </c>
      <c r="C48" s="4">
        <v>2715376</v>
      </c>
      <c r="D48" s="4">
        <v>2754176</v>
      </c>
      <c r="E48" s="4">
        <v>19363</v>
      </c>
      <c r="F48" s="4">
        <v>574217</v>
      </c>
      <c r="G48" s="4">
        <v>2187388</v>
      </c>
      <c r="H48" s="4">
        <v>1918073</v>
      </c>
      <c r="I48" s="4">
        <v>323509</v>
      </c>
      <c r="J48">
        <v>0</v>
      </c>
      <c r="K48" s="1">
        <v>15138</v>
      </c>
      <c r="L48">
        <f t="shared" si="6"/>
        <v>2734776</v>
      </c>
      <c r="M48">
        <f t="shared" si="7"/>
        <v>-3.2602670200411292E-2</v>
      </c>
      <c r="N48">
        <f t="shared" si="8"/>
        <v>5.9289633364141334</v>
      </c>
      <c r="O48">
        <f t="shared" si="9"/>
        <v>0.26251264064720115</v>
      </c>
      <c r="P48">
        <f t="shared" si="10"/>
        <v>14.828628863273067</v>
      </c>
      <c r="Q48">
        <f t="shared" si="11"/>
        <v>7.0802873800267369E-3</v>
      </c>
    </row>
    <row r="49" spans="1:17" x14ac:dyDescent="0.25">
      <c r="A49" t="s">
        <v>4539</v>
      </c>
      <c r="B49" s="1">
        <v>44718</v>
      </c>
      <c r="C49" s="4">
        <v>2754176</v>
      </c>
      <c r="D49" s="4">
        <v>2894616</v>
      </c>
      <c r="E49" s="4">
        <v>71088</v>
      </c>
      <c r="F49" s="4">
        <v>641541</v>
      </c>
      <c r="G49" s="4">
        <v>2214770</v>
      </c>
      <c r="H49" s="4">
        <v>1931518</v>
      </c>
      <c r="I49" s="4">
        <v>435183</v>
      </c>
      <c r="J49">
        <v>0</v>
      </c>
      <c r="K49" s="1">
        <v>16162</v>
      </c>
      <c r="L49">
        <f t="shared" si="6"/>
        <v>2824396</v>
      </c>
      <c r="M49">
        <f t="shared" si="7"/>
        <v>1.5832765660339414E-2</v>
      </c>
      <c r="N49">
        <f t="shared" si="8"/>
        <v>4.43840407368854</v>
      </c>
      <c r="O49">
        <f t="shared" si="9"/>
        <v>0.28966484104444251</v>
      </c>
      <c r="P49">
        <f t="shared" si="10"/>
        <v>14.878363017704393</v>
      </c>
      <c r="Q49">
        <f t="shared" si="11"/>
        <v>2.5169275129974692E-2</v>
      </c>
    </row>
    <row r="50" spans="1:17" x14ac:dyDescent="0.25">
      <c r="A50" t="s">
        <v>4635</v>
      </c>
      <c r="B50" s="1">
        <v>-14073</v>
      </c>
      <c r="C50" s="4">
        <v>2894616</v>
      </c>
      <c r="D50" s="4">
        <v>2918457</v>
      </c>
      <c r="E50" s="4">
        <v>-10993</v>
      </c>
      <c r="F50" s="4">
        <v>636392</v>
      </c>
      <c r="G50" s="4">
        <v>2268722</v>
      </c>
      <c r="H50" s="4">
        <v>1932397</v>
      </c>
      <c r="I50" s="4">
        <v>421110</v>
      </c>
      <c r="J50">
        <v>0</v>
      </c>
      <c r="K50" s="1">
        <v>16588</v>
      </c>
      <c r="L50">
        <f t="shared" si="6"/>
        <v>2906536.5</v>
      </c>
      <c r="M50">
        <f t="shared" si="7"/>
        <v>-4.8418452684148294E-3</v>
      </c>
      <c r="N50">
        <f t="shared" si="8"/>
        <v>4.5888176485953789</v>
      </c>
      <c r="O50">
        <f t="shared" si="9"/>
        <v>0.28050682278392858</v>
      </c>
      <c r="P50">
        <f t="shared" si="10"/>
        <v>14.886565609921417</v>
      </c>
      <c r="Q50">
        <f t="shared" si="11"/>
        <v>-3.7821647861638759E-3</v>
      </c>
    </row>
    <row r="51" spans="1:17" x14ac:dyDescent="0.25">
      <c r="A51" t="s">
        <v>4729</v>
      </c>
      <c r="B51" s="1">
        <v>-43393</v>
      </c>
      <c r="C51" s="4">
        <v>2918457</v>
      </c>
      <c r="D51" s="4">
        <v>2912334</v>
      </c>
      <c r="E51" s="4">
        <v>-21847</v>
      </c>
      <c r="F51" s="4">
        <v>630998</v>
      </c>
      <c r="G51" s="4">
        <v>2306176</v>
      </c>
      <c r="H51" s="4">
        <v>1988966</v>
      </c>
      <c r="I51" s="4">
        <v>377717</v>
      </c>
      <c r="J51">
        <v>0</v>
      </c>
      <c r="K51" s="1">
        <v>16233</v>
      </c>
      <c r="L51" s="4">
        <f>AVERAGE(C51,D51)</f>
        <v>2915395.5</v>
      </c>
      <c r="M51">
        <f>IFERROR(B51/L51,"")</f>
        <v>-1.4884086910335151E-2</v>
      </c>
      <c r="N51">
        <f>IFERROR(H51/I51,"")</f>
        <v>5.265757167403109</v>
      </c>
      <c r="O51">
        <f t="shared" si="9"/>
        <v>0.27361224815452073</v>
      </c>
      <c r="P51">
        <f>IFERROR(LN(D51),"")</f>
        <v>14.884465379523622</v>
      </c>
      <c r="Q51">
        <f>IFERROR(E51/L51,"")</f>
        <v>-7.4936659537273758E-3</v>
      </c>
    </row>
    <row r="52" spans="1:17" x14ac:dyDescent="0.25">
      <c r="B52" s="1"/>
      <c r="C52" s="4"/>
      <c r="D52" s="4"/>
      <c r="E52" s="4"/>
      <c r="F52" s="4"/>
      <c r="G52" s="4"/>
      <c r="H52" s="4"/>
      <c r="I52" s="4"/>
      <c r="K52" s="1"/>
    </row>
  </sheetData>
  <dataValidations count="1">
    <dataValidation type="whole" allowBlank="1" showInputMessage="1" showErrorMessage="1" sqref="J2:J52" xr:uid="{00000000-0002-0000-0000-000000000000}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6" width="22" customWidth="1"/>
  </cols>
  <sheetData>
    <row r="1" spans="1:6" x14ac:dyDescent="0.25">
      <c r="A1" t="s">
        <v>0</v>
      </c>
      <c r="B1" t="s">
        <v>10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4959</v>
      </c>
      <c r="B2">
        <v>9083</v>
      </c>
      <c r="C2">
        <f t="shared" ref="C2:C5" si="0">IFERROR(LN(B2),"")</f>
        <v>9.1141598135022139</v>
      </c>
      <c r="D2" t="str">
        <f t="shared" ref="D2:D5" si="1">IF(ROW()&gt;2,IFERROR(C2-C1,""),"")</f>
        <v/>
      </c>
    </row>
    <row r="3" spans="1:6" x14ac:dyDescent="0.25">
      <c r="A3" t="s">
        <v>4958</v>
      </c>
      <c r="B3">
        <v>9058</v>
      </c>
      <c r="C3">
        <f t="shared" si="0"/>
        <v>9.1114036241161589</v>
      </c>
      <c r="D3">
        <f>IF(ROW()&gt;2,IFERROR(C3-C2,""),"")</f>
        <v>-2.7561893860550413E-3</v>
      </c>
    </row>
    <row r="4" spans="1:6" x14ac:dyDescent="0.25">
      <c r="A4" t="s">
        <v>4957</v>
      </c>
      <c r="B4">
        <v>8929</v>
      </c>
      <c r="C4">
        <f t="shared" si="0"/>
        <v>9.0970596855172161</v>
      </c>
      <c r="D4">
        <f t="shared" si="1"/>
        <v>-1.4343938598942785E-2</v>
      </c>
    </row>
    <row r="5" spans="1:6" x14ac:dyDescent="0.25">
      <c r="A5" t="s">
        <v>4956</v>
      </c>
      <c r="B5">
        <v>9009</v>
      </c>
      <c r="C5">
        <f t="shared" si="0"/>
        <v>9.1059793566514404</v>
      </c>
      <c r="D5">
        <f t="shared" si="1"/>
        <v>8.9196711342243162E-3</v>
      </c>
    </row>
    <row r="6" spans="1:6" x14ac:dyDescent="0.25">
      <c r="A6" t="s">
        <v>4955</v>
      </c>
      <c r="B6">
        <v>8709</v>
      </c>
      <c r="C6">
        <f t="shared" ref="C6:C9" si="2">IFERROR(LN(B6),"")</f>
        <v>9.0721122526927402</v>
      </c>
      <c r="D6">
        <f t="shared" ref="D6:D9" si="3">IF(ROW()&gt;2,IFERROR(C6-C5,""),"")</f>
        <v>-3.3867103958700184E-2</v>
      </c>
    </row>
    <row r="7" spans="1:6" x14ac:dyDescent="0.25">
      <c r="A7" t="s">
        <v>4954</v>
      </c>
      <c r="B7">
        <v>8597</v>
      </c>
      <c r="C7">
        <f t="shared" si="2"/>
        <v>9.0591685841744436</v>
      </c>
      <c r="D7">
        <f t="shared" si="3"/>
        <v>-1.2943668518296647E-2</v>
      </c>
    </row>
    <row r="8" spans="1:6" x14ac:dyDescent="0.25">
      <c r="A8" t="s">
        <v>4953</v>
      </c>
      <c r="B8">
        <v>8823</v>
      </c>
      <c r="C8">
        <f t="shared" si="2"/>
        <v>9.0851172272221046</v>
      </c>
      <c r="D8">
        <f t="shared" si="3"/>
        <v>2.594864304766098E-2</v>
      </c>
    </row>
    <row r="9" spans="1:6" x14ac:dyDescent="0.25">
      <c r="A9" t="s">
        <v>4952</v>
      </c>
      <c r="B9">
        <v>9068</v>
      </c>
      <c r="C9">
        <f t="shared" si="2"/>
        <v>9.1125070116274198</v>
      </c>
      <c r="D9">
        <f t="shared" si="3"/>
        <v>2.7389784405315254E-2</v>
      </c>
    </row>
    <row r="10" spans="1:6" x14ac:dyDescent="0.25">
      <c r="A10" t="s">
        <v>4933</v>
      </c>
      <c r="B10">
        <f>Daily_FX!B92</f>
        <v>9180</v>
      </c>
      <c r="C10">
        <f t="shared" ref="C10:C13" si="4">IFERROR(LN(B10),"")</f>
        <v>9.1247824836145366</v>
      </c>
      <c r="D10">
        <f>IF(ROW()&gt;2,IFERROR(C10-C9,""),"")</f>
        <v>1.2275471987116759E-2</v>
      </c>
    </row>
    <row r="11" spans="1:6" x14ac:dyDescent="0.25">
      <c r="A11" t="s">
        <v>4937</v>
      </c>
      <c r="B11">
        <f>Daily_FX!B183</f>
        <v>9480</v>
      </c>
      <c r="C11">
        <f t="shared" si="4"/>
        <v>9.1569395952490673</v>
      </c>
      <c r="D11">
        <f t="shared" ref="D11:D13" si="5">IF(ROW()&gt;2,IFERROR(C11-C10,""),"")</f>
        <v>3.2157111634530722E-2</v>
      </c>
    </row>
    <row r="12" spans="1:6" x14ac:dyDescent="0.25">
      <c r="A12" t="s">
        <v>4941</v>
      </c>
      <c r="B12">
        <f>Daily_FX!B275</f>
        <v>9588</v>
      </c>
      <c r="C12">
        <f t="shared" si="4"/>
        <v>9.1682675955542745</v>
      </c>
      <c r="D12">
        <f t="shared" si="5"/>
        <v>1.1328000305207198E-2</v>
      </c>
    </row>
    <row r="13" spans="1:6" x14ac:dyDescent="0.25">
      <c r="A13" t="s">
        <v>4945</v>
      </c>
      <c r="B13">
        <f>Daily_FX!B367</f>
        <v>9670</v>
      </c>
      <c r="C13">
        <f t="shared" si="4"/>
        <v>9.1767835884473392</v>
      </c>
      <c r="D13">
        <f t="shared" si="5"/>
        <v>8.5159928930647055E-3</v>
      </c>
    </row>
    <row r="14" spans="1:6" x14ac:dyDescent="0.25">
      <c r="A14" t="str">
        <f>Quarterly_Firm!A2</f>
        <v>2013Q1</v>
      </c>
      <c r="B14">
        <f>Quarterly_Firm!K2</f>
        <v>9719</v>
      </c>
      <c r="C14">
        <f t="shared" ref="C14:C29" si="6">IFERROR(LN(B14),"")</f>
        <v>9.181838011503471</v>
      </c>
      <c r="D14">
        <f t="shared" ref="D14:D15" si="7">IF(ROW()&gt;2,IFERROR(C14-C13,""),"")</f>
        <v>5.054423056131796E-3</v>
      </c>
      <c r="E14">
        <f ca="1">IF(ROW()&gt;=5,_xlfn.STDEV.S(OFFSET(D14,-3,0,4,1)),NA())</f>
        <v>1.2201631466109869E-2</v>
      </c>
      <c r="F14">
        <f ca="1">IF(ROW()&gt;=13,_xlfn.STDEV.S(OFFSET(D14,-11,0,12,1)),NA())</f>
        <v>1.9212738256421821E-2</v>
      </c>
    </row>
    <row r="15" spans="1:6" x14ac:dyDescent="0.25">
      <c r="A15" t="str">
        <f>Quarterly_Firm!A3</f>
        <v>2013Q2</v>
      </c>
      <c r="B15">
        <f>Quarterly_Firm!K3</f>
        <v>9929</v>
      </c>
      <c r="C15">
        <f t="shared" si="6"/>
        <v>9.2032150470335949</v>
      </c>
      <c r="D15">
        <f t="shared" si="7"/>
        <v>2.1377035530123933E-2</v>
      </c>
      <c r="E15">
        <f ca="1">IF(ROW()&gt;=5,_xlfn.STDEV.S(OFFSET(D15,-3,0,4,1)),NA())</f>
        <v>7.0241537305335538E-3</v>
      </c>
      <c r="F15">
        <f ca="1">IF(ROW()&gt;=13,_xlfn.STDEV.S(OFFSET(D15,-11,0,12,1)),NA())</f>
        <v>1.9514688138905945E-2</v>
      </c>
    </row>
    <row r="16" spans="1:6" x14ac:dyDescent="0.25">
      <c r="A16" t="str">
        <f>Quarterly_Firm!A4</f>
        <v>2013Q3</v>
      </c>
      <c r="B16">
        <f>Quarterly_Firm!K4</f>
        <v>11613</v>
      </c>
      <c r="C16">
        <f t="shared" si="6"/>
        <v>9.3598804392457584</v>
      </c>
      <c r="D16">
        <f t="shared" ref="D16:D29" si="8">IF(ROW()&gt;2,IFERROR(C16-C15,""),"")</f>
        <v>0.15666539221216347</v>
      </c>
      <c r="E16">
        <f t="shared" ref="E16:E63" ca="1" si="9">IF(ROW()&gt;=5,_xlfn.STDEV.S(OFFSET(D16,-3,0,4,1)),NA())</f>
        <v>7.2847378414390027E-2</v>
      </c>
      <c r="F16">
        <f t="shared" ref="F16:F29" ca="1" si="10">IF(ROW()&gt;=13,_xlfn.STDEV.S(OFFSET(D16,-11,0,12,1)),NA())</f>
        <v>4.6194810668332739E-2</v>
      </c>
    </row>
    <row r="17" spans="1:6" x14ac:dyDescent="0.25">
      <c r="A17" t="str">
        <f>Quarterly_Firm!A5</f>
        <v>2013Q4</v>
      </c>
      <c r="B17">
        <f>Quarterly_Firm!K5</f>
        <v>12189</v>
      </c>
      <c r="C17">
        <f t="shared" si="6"/>
        <v>9.4082891846558372</v>
      </c>
      <c r="D17">
        <f t="shared" si="8"/>
        <v>4.840874541007878E-2</v>
      </c>
      <c r="E17">
        <f t="shared" ca="1" si="9"/>
        <v>6.8242866100158145E-2</v>
      </c>
      <c r="F17">
        <f t="shared" ca="1" si="10"/>
        <v>4.6590776495264462E-2</v>
      </c>
    </row>
    <row r="18" spans="1:6" x14ac:dyDescent="0.25">
      <c r="A18" t="str">
        <f>Quarterly_Firm!A6</f>
        <v>2014Q1</v>
      </c>
      <c r="B18">
        <f>Quarterly_Firm!K6</f>
        <v>11404</v>
      </c>
      <c r="C18">
        <f t="shared" si="6"/>
        <v>9.3417194500325618</v>
      </c>
      <c r="D18">
        <f t="shared" si="8"/>
        <v>-6.6569734623275423E-2</v>
      </c>
      <c r="E18">
        <f t="shared" ca="1" si="9"/>
        <v>9.1988115842039572E-2</v>
      </c>
      <c r="F18">
        <f t="shared" ca="1" si="10"/>
        <v>5.1097814494179168E-2</v>
      </c>
    </row>
    <row r="19" spans="1:6" x14ac:dyDescent="0.25">
      <c r="A19" t="str">
        <f>Quarterly_Firm!A7</f>
        <v>2014Q2</v>
      </c>
      <c r="B19">
        <f>Quarterly_Firm!K7</f>
        <v>11969</v>
      </c>
      <c r="C19">
        <f t="shared" si="6"/>
        <v>9.3900752528733697</v>
      </c>
      <c r="D19">
        <f t="shared" si="8"/>
        <v>4.8355802840807982E-2</v>
      </c>
      <c r="E19">
        <f t="shared" ca="1" si="9"/>
        <v>9.1155692551700598E-2</v>
      </c>
      <c r="F19">
        <f t="shared" ca="1" si="10"/>
        <v>5.0293682665133163E-2</v>
      </c>
    </row>
    <row r="20" spans="1:6" x14ac:dyDescent="0.25">
      <c r="A20" t="str">
        <f>Quarterly_Firm!A8</f>
        <v>2014Q3</v>
      </c>
      <c r="B20">
        <f>Quarterly_Firm!K8</f>
        <v>12212</v>
      </c>
      <c r="C20">
        <f t="shared" si="6"/>
        <v>9.4101743538547691</v>
      </c>
      <c r="D20">
        <f t="shared" si="8"/>
        <v>2.0099100981399332E-2</v>
      </c>
      <c r="E20">
        <f t="shared" ca="1" si="9"/>
        <v>5.4420658659973684E-2</v>
      </c>
      <c r="F20">
        <f t="shared" ca="1" si="10"/>
        <v>5.0339211878806016E-2</v>
      </c>
    </row>
    <row r="21" spans="1:6" x14ac:dyDescent="0.25">
      <c r="A21" t="str">
        <f>Quarterly_Firm!A9</f>
        <v>2014Q4</v>
      </c>
      <c r="B21">
        <f>Quarterly_Firm!K9</f>
        <v>12440</v>
      </c>
      <c r="C21">
        <f t="shared" si="6"/>
        <v>9.4286723662931706</v>
      </c>
      <c r="D21">
        <f t="shared" si="8"/>
        <v>1.8498012438401545E-2</v>
      </c>
      <c r="E21">
        <f t="shared" ca="1" si="9"/>
        <v>4.9706119801653605E-2</v>
      </c>
      <c r="F21">
        <f t="shared" ca="1" si="10"/>
        <v>5.0399773291717014E-2</v>
      </c>
    </row>
    <row r="22" spans="1:6" x14ac:dyDescent="0.25">
      <c r="A22" t="str">
        <f>Quarterly_Firm!A10</f>
        <v>2015Q1</v>
      </c>
      <c r="B22">
        <f>Quarterly_Firm!K10</f>
        <v>13084</v>
      </c>
      <c r="C22">
        <f t="shared" si="6"/>
        <v>9.4791453886582744</v>
      </c>
      <c r="D22">
        <f t="shared" si="8"/>
        <v>5.0473022365103759E-2</v>
      </c>
      <c r="E22">
        <f t="shared" ca="1" si="9"/>
        <v>1.7421134939009861E-2</v>
      </c>
      <c r="F22">
        <f t="shared" ca="1" si="10"/>
        <v>5.0635928063082689E-2</v>
      </c>
    </row>
    <row r="23" spans="1:6" x14ac:dyDescent="0.25">
      <c r="A23" t="str">
        <f>Quarterly_Firm!A11</f>
        <v>2015Q2</v>
      </c>
      <c r="B23">
        <f>Quarterly_Firm!K11</f>
        <v>13332</v>
      </c>
      <c r="C23">
        <f t="shared" si="6"/>
        <v>9.4979224394276311</v>
      </c>
      <c r="D23">
        <f t="shared" si="8"/>
        <v>1.8777050769356762E-2</v>
      </c>
      <c r="E23">
        <f t="shared" ca="1" si="9"/>
        <v>1.5689699750447702E-2</v>
      </c>
      <c r="F23">
        <f t="shared" ca="1" si="10"/>
        <v>5.0720070586298745E-2</v>
      </c>
    </row>
    <row r="24" spans="1:6" x14ac:dyDescent="0.25">
      <c r="A24" t="str">
        <f>Quarterly_Firm!A12</f>
        <v>2015Q3</v>
      </c>
      <c r="B24">
        <f>Quarterly_Firm!K12</f>
        <v>14657</v>
      </c>
      <c r="C24">
        <f t="shared" si="6"/>
        <v>9.5926733160272999</v>
      </c>
      <c r="D24">
        <f t="shared" si="8"/>
        <v>9.4750876599668743E-2</v>
      </c>
      <c r="E24">
        <f t="shared" ca="1" si="9"/>
        <v>3.6025643201879912E-2</v>
      </c>
      <c r="F24">
        <f t="shared" ca="1" si="10"/>
        <v>5.3789384352911397E-2</v>
      </c>
    </row>
    <row r="25" spans="1:6" x14ac:dyDescent="0.25">
      <c r="A25" t="str">
        <f>Quarterly_Firm!A13</f>
        <v>2015Q4</v>
      </c>
      <c r="B25">
        <f>Quarterly_Firm!K13</f>
        <v>13795</v>
      </c>
      <c r="C25">
        <f t="shared" si="6"/>
        <v>9.5320614866513864</v>
      </c>
      <c r="D25">
        <f t="shared" si="8"/>
        <v>-6.0611829375913473E-2</v>
      </c>
      <c r="E25">
        <f t="shared" ca="1" si="9"/>
        <v>6.5521748416975667E-2</v>
      </c>
      <c r="F25">
        <f t="shared" ca="1" si="10"/>
        <v>6.0241207709949576E-2</v>
      </c>
    </row>
    <row r="26" spans="1:6" x14ac:dyDescent="0.25">
      <c r="A26" t="str">
        <f>Quarterly_Firm!A14</f>
        <v>2016Q1</v>
      </c>
      <c r="B26">
        <f>Quarterly_Firm!K14</f>
        <v>13276</v>
      </c>
      <c r="C26">
        <f t="shared" si="6"/>
        <v>9.4937131728398647</v>
      </c>
      <c r="D26">
        <f t="shared" si="8"/>
        <v>-3.8348313811521706E-2</v>
      </c>
      <c r="E26">
        <f t="shared" ca="1" si="9"/>
        <v>6.9334066183207269E-2</v>
      </c>
      <c r="F26">
        <f t="shared" ca="1" si="10"/>
        <v>6.3085153519799278E-2</v>
      </c>
    </row>
    <row r="27" spans="1:6" x14ac:dyDescent="0.25">
      <c r="A27" t="str">
        <f>Quarterly_Firm!A15</f>
        <v>2016Q2</v>
      </c>
      <c r="B27">
        <f>Quarterly_Firm!K15</f>
        <v>13180</v>
      </c>
      <c r="C27">
        <f t="shared" si="6"/>
        <v>9.4864558080564976</v>
      </c>
      <c r="D27">
        <f t="shared" si="8"/>
        <v>-7.2573647833671373E-3</v>
      </c>
      <c r="E27">
        <f t="shared" ca="1" si="9"/>
        <v>6.8658367015574387E-2</v>
      </c>
      <c r="F27">
        <f t="shared" ca="1" si="10"/>
        <v>6.3812837028444133E-2</v>
      </c>
    </row>
    <row r="28" spans="1:6" x14ac:dyDescent="0.25">
      <c r="A28" t="str">
        <f>Quarterly_Firm!A16</f>
        <v>2016Q3</v>
      </c>
      <c r="B28">
        <f>Quarterly_Firm!K16</f>
        <v>12998</v>
      </c>
      <c r="C28">
        <f t="shared" si="6"/>
        <v>9.4725507784542948</v>
      </c>
      <c r="D28">
        <f t="shared" si="8"/>
        <v>-1.3905029602202745E-2</v>
      </c>
      <c r="E28">
        <f t="shared" ca="1" si="9"/>
        <v>2.4379295970654302E-2</v>
      </c>
      <c r="F28">
        <f t="shared" ca="1" si="10"/>
        <v>4.8682388898652229E-2</v>
      </c>
    </row>
    <row r="29" spans="1:6" x14ac:dyDescent="0.25">
      <c r="A29" t="str">
        <f>Quarterly_Firm!A17</f>
        <v>2016Q4</v>
      </c>
      <c r="B29">
        <f>Quarterly_Firm!K17</f>
        <v>13436</v>
      </c>
      <c r="C29">
        <f t="shared" si="6"/>
        <v>9.5056929507321826</v>
      </c>
      <c r="D29">
        <f t="shared" si="8"/>
        <v>3.3142172277887738E-2</v>
      </c>
      <c r="E29">
        <f t="shared" ca="1" si="9"/>
        <v>2.9671484771805982E-2</v>
      </c>
      <c r="F29">
        <f t="shared" ca="1" si="10"/>
        <v>4.7760749514848488E-2</v>
      </c>
    </row>
    <row r="30" spans="1:6" x14ac:dyDescent="0.25">
      <c r="A30" t="str">
        <f>Quarterly_Firm!A18</f>
        <v>2017Q1</v>
      </c>
      <c r="B30">
        <f>Quarterly_Firm!K18</f>
        <v>13321</v>
      </c>
      <c r="C30">
        <f t="shared" ref="C30:C63" si="11">IFERROR(LN(B30),"")</f>
        <v>9.4970970163514625</v>
      </c>
      <c r="D30">
        <f t="shared" ref="D30:D63" si="12">IF(ROW()&gt;2,IFERROR(C30-C29,""),"")</f>
        <v>-8.5959343807200383E-3</v>
      </c>
      <c r="E30">
        <f t="shared" ca="1" si="9"/>
        <v>2.1721343296276452E-2</v>
      </c>
      <c r="F30">
        <f t="shared" ref="F30:F63" ca="1" si="13">IF(ROW()&gt;=13,_xlfn.STDEV.S(OFFSET(D30,-11,0,12,1)),NA())</f>
        <v>4.2117926562725672E-2</v>
      </c>
    </row>
    <row r="31" spans="1:6" x14ac:dyDescent="0.25">
      <c r="A31" t="str">
        <f>Quarterly_Firm!A19</f>
        <v>2017Q2</v>
      </c>
      <c r="B31">
        <f>Quarterly_Firm!K19</f>
        <v>13319</v>
      </c>
      <c r="C31">
        <f t="shared" si="11"/>
        <v>9.4969468662010303</v>
      </c>
      <c r="D31">
        <f t="shared" si="12"/>
        <v>-1.5015015043218227E-4</v>
      </c>
      <c r="E31">
        <f t="shared" ca="1" si="9"/>
        <v>2.1119899693832614E-2</v>
      </c>
      <c r="F31">
        <f t="shared" ca="1" si="13"/>
        <v>4.0715096439725033E-2</v>
      </c>
    </row>
    <row r="32" spans="1:6" x14ac:dyDescent="0.25">
      <c r="A32" t="str">
        <f>Quarterly_Firm!A20</f>
        <v>2017Q3</v>
      </c>
      <c r="B32">
        <f>Quarterly_Firm!K20</f>
        <v>13492</v>
      </c>
      <c r="C32">
        <f t="shared" si="11"/>
        <v>9.5098521961815408</v>
      </c>
      <c r="D32">
        <f t="shared" si="12"/>
        <v>1.2905329980510416E-2</v>
      </c>
      <c r="E32">
        <f t="shared" ca="1" si="9"/>
        <v>1.8175210379642072E-2</v>
      </c>
      <c r="F32">
        <f t="shared" ca="1" si="13"/>
        <v>4.0588070345104428E-2</v>
      </c>
    </row>
    <row r="33" spans="1:6" x14ac:dyDescent="0.25">
      <c r="A33" t="str">
        <f>Quarterly_Firm!A21</f>
        <v>2017Q4</v>
      </c>
      <c r="B33">
        <f>Quarterly_Firm!K21</f>
        <v>13548</v>
      </c>
      <c r="C33">
        <f t="shared" si="11"/>
        <v>9.5139942139376625</v>
      </c>
      <c r="D33">
        <f t="shared" si="12"/>
        <v>4.1420177561217741E-3</v>
      </c>
      <c r="E33">
        <f t="shared" ca="1" si="9"/>
        <v>8.9515127816763417E-3</v>
      </c>
      <c r="F33">
        <f t="shared" ca="1" si="13"/>
        <v>4.0471771372648173E-2</v>
      </c>
    </row>
    <row r="34" spans="1:6" x14ac:dyDescent="0.25">
      <c r="A34" t="str">
        <f>Quarterly_Firm!A22</f>
        <v>2018Q1</v>
      </c>
      <c r="B34">
        <f>Quarterly_Firm!K22</f>
        <v>13756</v>
      </c>
      <c r="C34">
        <f t="shared" si="11"/>
        <v>9.5292303715521562</v>
      </c>
      <c r="D34">
        <f t="shared" si="12"/>
        <v>1.5236157614493706E-2</v>
      </c>
      <c r="E34">
        <f t="shared" ca="1" si="9"/>
        <v>7.2509486231290441E-3</v>
      </c>
      <c r="F34">
        <f t="shared" ca="1" si="13"/>
        <v>3.8257299860117999E-2</v>
      </c>
    </row>
    <row r="35" spans="1:6" x14ac:dyDescent="0.25">
      <c r="A35" t="str">
        <f>Quarterly_Firm!A23</f>
        <v>2018Q2</v>
      </c>
      <c r="B35">
        <f>Quarterly_Firm!K23</f>
        <v>14404</v>
      </c>
      <c r="C35">
        <f t="shared" si="11"/>
        <v>9.5752612247687665</v>
      </c>
      <c r="D35">
        <f t="shared" si="12"/>
        <v>4.6030853216610268E-2</v>
      </c>
      <c r="E35">
        <f t="shared" ca="1" si="9"/>
        <v>1.8270186189816781E-2</v>
      </c>
      <c r="F35">
        <f t="shared" ca="1" si="13"/>
        <v>3.9973507378464217E-2</v>
      </c>
    </row>
    <row r="36" spans="1:6" x14ac:dyDescent="0.25">
      <c r="A36" t="str">
        <f>Quarterly_Firm!A24</f>
        <v>2018Q3</v>
      </c>
      <c r="B36">
        <f>Quarterly_Firm!K24</f>
        <v>14929</v>
      </c>
      <c r="C36">
        <f t="shared" si="11"/>
        <v>9.6110609090535899</v>
      </c>
      <c r="D36">
        <f t="shared" si="12"/>
        <v>3.5799684284823385E-2</v>
      </c>
      <c r="E36">
        <f t="shared" ca="1" si="9"/>
        <v>1.9052145656798972E-2</v>
      </c>
      <c r="F36">
        <f t="shared" ca="1" si="13"/>
        <v>3.0675498569033673E-2</v>
      </c>
    </row>
    <row r="37" spans="1:6" x14ac:dyDescent="0.25">
      <c r="A37" t="str">
        <f>Quarterly_Firm!A25</f>
        <v>2018Q4</v>
      </c>
      <c r="B37">
        <f>Quarterly_Firm!K25</f>
        <v>14481</v>
      </c>
      <c r="C37">
        <f t="shared" si="11"/>
        <v>9.5805927243286018</v>
      </c>
      <c r="D37">
        <f t="shared" si="12"/>
        <v>-3.0468184724988134E-2</v>
      </c>
      <c r="E37">
        <f t="shared" ca="1" si="9"/>
        <v>3.3921808252994783E-2</v>
      </c>
      <c r="F37">
        <f t="shared" ca="1" si="13"/>
        <v>2.6002214304466312E-2</v>
      </c>
    </row>
    <row r="38" spans="1:6" x14ac:dyDescent="0.25">
      <c r="A38" t="str">
        <f>Quarterly_Firm!A26</f>
        <v>2019Q1</v>
      </c>
      <c r="B38">
        <f>Quarterly_Firm!K26</f>
        <v>14244</v>
      </c>
      <c r="C38">
        <f t="shared" si="11"/>
        <v>9.564091044397669</v>
      </c>
      <c r="D38">
        <f t="shared" si="12"/>
        <v>-1.6501679930932767E-2</v>
      </c>
      <c r="E38">
        <f t="shared" ca="1" si="9"/>
        <v>3.7847306975576797E-2</v>
      </c>
      <c r="F38">
        <f t="shared" ca="1" si="13"/>
        <v>2.3398715174326089E-2</v>
      </c>
    </row>
    <row r="39" spans="1:6" x14ac:dyDescent="0.25">
      <c r="A39" t="str">
        <f>Quarterly_Firm!A27</f>
        <v>2019Q2</v>
      </c>
      <c r="B39">
        <f>Quarterly_Firm!K27</f>
        <v>14141</v>
      </c>
      <c r="C39">
        <f t="shared" si="11"/>
        <v>9.5568336583077773</v>
      </c>
      <c r="D39">
        <f t="shared" si="12"/>
        <v>-7.257386089891682E-3</v>
      </c>
      <c r="E39">
        <f t="shared" ca="1" si="9"/>
        <v>2.8577432630843461E-2</v>
      </c>
      <c r="F39">
        <f t="shared" ca="1" si="13"/>
        <v>2.3398716260587791E-2</v>
      </c>
    </row>
    <row r="40" spans="1:6" x14ac:dyDescent="0.25">
      <c r="A40" t="str">
        <f>Quarterly_Firm!A28</f>
        <v>2019Q3</v>
      </c>
      <c r="B40">
        <f>Quarterly_Firm!K28</f>
        <v>14174</v>
      </c>
      <c r="C40">
        <f t="shared" si="11"/>
        <v>9.5591645793702007</v>
      </c>
      <c r="D40">
        <f t="shared" si="12"/>
        <v>2.3309210624233856E-3</v>
      </c>
      <c r="E40">
        <f t="shared" ca="1" si="9"/>
        <v>1.3969148246334327E-2</v>
      </c>
      <c r="F40">
        <f t="shared" ca="1" si="13"/>
        <v>2.2607668520472468E-2</v>
      </c>
    </row>
    <row r="41" spans="1:6" x14ac:dyDescent="0.25">
      <c r="A41" t="str">
        <f>Quarterly_Firm!A29</f>
        <v>2019Q4</v>
      </c>
      <c r="B41">
        <f>Quarterly_Firm!K29</f>
        <v>13901</v>
      </c>
      <c r="C41">
        <f t="shared" si="11"/>
        <v>9.539716058977092</v>
      </c>
      <c r="D41">
        <f t="shared" si="12"/>
        <v>-1.9448520393108737E-2</v>
      </c>
      <c r="E41">
        <f t="shared" ca="1" si="9"/>
        <v>9.8476357452992654E-3</v>
      </c>
      <c r="F41">
        <f t="shared" ca="1" si="13"/>
        <v>2.2219387552525213E-2</v>
      </c>
    </row>
    <row r="42" spans="1:6" x14ac:dyDescent="0.25">
      <c r="A42" t="str">
        <f>Quarterly_Firm!A30</f>
        <v>2020Q1</v>
      </c>
      <c r="B42">
        <f>Quarterly_Firm!K30</f>
        <v>16367</v>
      </c>
      <c r="C42">
        <f>IFERROR(LN(B42),"")</f>
        <v>9.7030223915058844</v>
      </c>
      <c r="D42">
        <f>IF(ROW()&gt;2,IFERROR(C42-C41,""),"")</f>
        <v>0.16330633252879245</v>
      </c>
      <c r="E42">
        <f t="shared" ca="1" si="9"/>
        <v>8.6177774073939437E-2</v>
      </c>
      <c r="F42">
        <f t="shared" ca="1" si="13"/>
        <v>5.0979919235889168E-2</v>
      </c>
    </row>
    <row r="43" spans="1:6" x14ac:dyDescent="0.25">
      <c r="A43" t="str">
        <f>Quarterly_Firm!A31</f>
        <v>2020Q2</v>
      </c>
      <c r="B43">
        <f>Quarterly_Firm!K31</f>
        <v>14302</v>
      </c>
      <c r="C43">
        <f t="shared" si="11"/>
        <v>9.5681546666083417</v>
      </c>
      <c r="D43">
        <f t="shared" si="12"/>
        <v>-0.13486772489754273</v>
      </c>
      <c r="E43">
        <f t="shared" ca="1" si="9"/>
        <v>0.12275979023318787</v>
      </c>
      <c r="F43">
        <f t="shared" ca="1" si="13"/>
        <v>6.7345095162371332E-2</v>
      </c>
    </row>
    <row r="44" spans="1:6" x14ac:dyDescent="0.25">
      <c r="A44" t="str">
        <f>Quarterly_Firm!A32</f>
        <v>2020Q3</v>
      </c>
      <c r="B44">
        <f>Quarterly_Firm!K32</f>
        <v>14918</v>
      </c>
      <c r="C44">
        <f t="shared" si="11"/>
        <v>9.610323816515109</v>
      </c>
      <c r="D44">
        <f t="shared" si="12"/>
        <v>4.2169149906767345E-2</v>
      </c>
      <c r="E44">
        <f t="shared" ca="1" si="9"/>
        <v>0.12431200897482665</v>
      </c>
      <c r="F44">
        <f t="shared" ca="1" si="13"/>
        <v>6.8145568537442372E-2</v>
      </c>
    </row>
    <row r="45" spans="1:6" x14ac:dyDescent="0.25">
      <c r="A45" t="str">
        <f>Quarterly_Firm!A33</f>
        <v>2020Q4</v>
      </c>
      <c r="B45">
        <f>Quarterly_Firm!K33</f>
        <v>14105</v>
      </c>
      <c r="C45">
        <f t="shared" si="11"/>
        <v>9.5542846234360965</v>
      </c>
      <c r="D45">
        <f t="shared" si="12"/>
        <v>-5.6039193079012506E-2</v>
      </c>
      <c r="E45">
        <f t="shared" ca="1" si="9"/>
        <v>0.12874241603585954</v>
      </c>
      <c r="F45">
        <f t="shared" ca="1" si="13"/>
        <v>7.0653555695743664E-2</v>
      </c>
    </row>
    <row r="46" spans="1:6" x14ac:dyDescent="0.25">
      <c r="A46" t="str">
        <f>Quarterly_Firm!A34</f>
        <v>2021Q1</v>
      </c>
      <c r="B46">
        <f>Quarterly_Firm!K34</f>
        <v>14572</v>
      </c>
      <c r="C46">
        <f t="shared" si="11"/>
        <v>9.5868571581284545</v>
      </c>
      <c r="D46">
        <f t="shared" si="12"/>
        <v>3.2572534692357991E-2</v>
      </c>
      <c r="E46">
        <f t="shared" ca="1" si="9"/>
        <v>8.3257254416101184E-2</v>
      </c>
      <c r="F46">
        <f t="shared" ca="1" si="13"/>
        <v>7.1094394989573442E-2</v>
      </c>
    </row>
    <row r="47" spans="1:6" x14ac:dyDescent="0.25">
      <c r="A47" t="str">
        <f>Quarterly_Firm!A35</f>
        <v>2021Q2</v>
      </c>
      <c r="B47">
        <f>Quarterly_Firm!K35</f>
        <v>14542</v>
      </c>
      <c r="C47">
        <f t="shared" si="11"/>
        <v>9.5847962932100028</v>
      </c>
      <c r="D47">
        <f t="shared" si="12"/>
        <v>-2.0608649184516992E-3</v>
      </c>
      <c r="E47">
        <f t="shared" ca="1" si="9"/>
        <v>4.4401987985959783E-2</v>
      </c>
      <c r="F47">
        <f t="shared" ca="1" si="13"/>
        <v>6.9904552755043287E-2</v>
      </c>
    </row>
    <row r="48" spans="1:6" x14ac:dyDescent="0.25">
      <c r="A48" t="str">
        <f>Quarterly_Firm!A36</f>
        <v>2021Q3</v>
      </c>
      <c r="B48">
        <f>Quarterly_Firm!K36</f>
        <v>14321</v>
      </c>
      <c r="C48">
        <f t="shared" si="11"/>
        <v>9.5694822704787033</v>
      </c>
      <c r="D48">
        <f t="shared" si="12"/>
        <v>-1.5314022731299559E-2</v>
      </c>
      <c r="E48">
        <f t="shared" ca="1" si="9"/>
        <v>3.6620211463969862E-2</v>
      </c>
      <c r="F48">
        <f t="shared" ca="1" si="13"/>
        <v>6.9130656630234003E-2</v>
      </c>
    </row>
    <row r="49" spans="1:6" x14ac:dyDescent="0.25">
      <c r="A49" t="str">
        <f>Quarterly_Firm!A37</f>
        <v>2021Q4</v>
      </c>
      <c r="B49">
        <f>Quarterly_Firm!K37</f>
        <v>14278</v>
      </c>
      <c r="C49">
        <f t="shared" si="11"/>
        <v>9.5664751700624056</v>
      </c>
      <c r="D49">
        <f t="shared" si="12"/>
        <v>-3.0071004162977033E-3</v>
      </c>
      <c r="E49">
        <f t="shared" ca="1" si="9"/>
        <v>2.058823910928578E-2</v>
      </c>
      <c r="F49">
        <f t="shared" ca="1" si="13"/>
        <v>6.8608052407830453E-2</v>
      </c>
    </row>
    <row r="50" spans="1:6" x14ac:dyDescent="0.25">
      <c r="A50" t="str">
        <f>Quarterly_Firm!A38</f>
        <v>2022Q1</v>
      </c>
      <c r="B50">
        <f>Quarterly_Firm!K38</f>
        <v>14357</v>
      </c>
      <c r="C50">
        <f t="shared" si="11"/>
        <v>9.5719929071276937</v>
      </c>
      <c r="D50">
        <f t="shared" si="12"/>
        <v>5.5177370652881308E-3</v>
      </c>
      <c r="E50">
        <f t="shared" ca="1" si="9"/>
        <v>8.6220268732437461E-3</v>
      </c>
      <c r="F50">
        <f t="shared" ca="1" si="13"/>
        <v>6.8455200267911326E-2</v>
      </c>
    </row>
    <row r="51" spans="1:6" x14ac:dyDescent="0.25">
      <c r="A51" t="str">
        <f>Quarterly_Firm!A39</f>
        <v>2022Q2</v>
      </c>
      <c r="B51">
        <f>Quarterly_Firm!K39</f>
        <v>14882</v>
      </c>
      <c r="C51">
        <f t="shared" si="11"/>
        <v>9.6079077079572066</v>
      </c>
      <c r="D51">
        <f t="shared" si="12"/>
        <v>3.5914800829512927E-2</v>
      </c>
      <c r="E51">
        <f t="shared" ca="1" si="9"/>
        <v>2.1835337667562162E-2</v>
      </c>
      <c r="F51">
        <f t="shared" ca="1" si="13"/>
        <v>6.9132472013673674E-2</v>
      </c>
    </row>
    <row r="52" spans="1:6" x14ac:dyDescent="0.25">
      <c r="A52" t="str">
        <f>Quarterly_Firm!A40</f>
        <v>2022Q3</v>
      </c>
      <c r="B52">
        <f>Quarterly_Firm!K40</f>
        <v>15232</v>
      </c>
      <c r="C52">
        <f t="shared" si="11"/>
        <v>9.6311537570311465</v>
      </c>
      <c r="D52">
        <f t="shared" si="12"/>
        <v>2.3246049073939901E-2</v>
      </c>
      <c r="E52">
        <f t="shared" ca="1" si="9"/>
        <v>1.7501397353829679E-2</v>
      </c>
      <c r="F52">
        <f t="shared" ca="1" si="13"/>
        <v>6.9342851041210324E-2</v>
      </c>
    </row>
    <row r="53" spans="1:6" x14ac:dyDescent="0.25">
      <c r="A53" t="str">
        <f>Quarterly_Firm!A41</f>
        <v>2022Q4</v>
      </c>
      <c r="B53">
        <f>Quarterly_Firm!K41</f>
        <v>15592</v>
      </c>
      <c r="C53">
        <f t="shared" si="11"/>
        <v>9.6545132411873968</v>
      </c>
      <c r="D53">
        <f t="shared" si="12"/>
        <v>2.3359484156250332E-2</v>
      </c>
      <c r="E53">
        <f t="shared" ca="1" si="9"/>
        <v>1.249916192773357E-2</v>
      </c>
      <c r="F53">
        <f t="shared" ca="1" si="13"/>
        <v>6.9015039317350216E-2</v>
      </c>
    </row>
    <row r="54" spans="1:6" x14ac:dyDescent="0.25">
      <c r="A54" t="str">
        <f>Quarterly_Firm!A42</f>
        <v>2023Q1</v>
      </c>
      <c r="B54">
        <f>Quarterly_Firm!K42</f>
        <v>14977</v>
      </c>
      <c r="C54">
        <f t="shared" si="11"/>
        <v>9.6142709699923952</v>
      </c>
      <c r="D54">
        <f t="shared" si="12"/>
        <v>-4.0242271195001678E-2</v>
      </c>
      <c r="E54">
        <f t="shared" ca="1" si="9"/>
        <v>3.4392339056112789E-2</v>
      </c>
      <c r="F54">
        <f t="shared" ca="1" si="13"/>
        <v>5.0259429240950268E-2</v>
      </c>
    </row>
    <row r="55" spans="1:6" x14ac:dyDescent="0.25">
      <c r="A55" t="str">
        <f>Quarterly_Firm!A43</f>
        <v>2023Q2</v>
      </c>
      <c r="B55">
        <f>Quarterly_Firm!K43</f>
        <v>15026</v>
      </c>
      <c r="C55">
        <f t="shared" si="11"/>
        <v>9.6175373129291053</v>
      </c>
      <c r="D55">
        <f t="shared" si="12"/>
        <v>3.2663429367101315E-3</v>
      </c>
      <c r="E55">
        <f t="shared" ca="1" si="9"/>
        <v>2.9960926564041628E-2</v>
      </c>
      <c r="F55">
        <f t="shared" ca="1" si="13"/>
        <v>3.0242443137658889E-2</v>
      </c>
    </row>
    <row r="56" spans="1:6" x14ac:dyDescent="0.25">
      <c r="A56" t="str">
        <f>Quarterly_Firm!A44</f>
        <v>2023Q3</v>
      </c>
      <c r="B56">
        <f>Quarterly_Firm!K44</f>
        <v>15526</v>
      </c>
      <c r="C56">
        <f t="shared" si="11"/>
        <v>9.6502713169656253</v>
      </c>
      <c r="D56">
        <f t="shared" si="12"/>
        <v>3.2734004036520048E-2</v>
      </c>
      <c r="E56">
        <f t="shared" ca="1" si="9"/>
        <v>3.2434136507488429E-2</v>
      </c>
      <c r="F56">
        <f t="shared" ca="1" si="13"/>
        <v>2.9270173721363025E-2</v>
      </c>
    </row>
    <row r="57" spans="1:6" x14ac:dyDescent="0.25">
      <c r="A57" t="str">
        <f>Quarterly_Firm!A45</f>
        <v>2023Q4</v>
      </c>
      <c r="B57">
        <f>Quarterly_Firm!K45</f>
        <v>15416</v>
      </c>
      <c r="C57">
        <f t="shared" si="11"/>
        <v>9.6431612100942026</v>
      </c>
      <c r="D57">
        <f t="shared" si="12"/>
        <v>-7.1101068714227722E-3</v>
      </c>
      <c r="E57">
        <f t="shared" ca="1" si="9"/>
        <v>3.011068954492745E-2</v>
      </c>
      <c r="F57">
        <f t="shared" ca="1" si="13"/>
        <v>2.2980358846652331E-2</v>
      </c>
    </row>
    <row r="58" spans="1:6" x14ac:dyDescent="0.25">
      <c r="A58" t="str">
        <f>Quarterly_Firm!A46</f>
        <v>2024Q1</v>
      </c>
      <c r="B58">
        <f>Quarterly_Firm!K46</f>
        <v>15853</v>
      </c>
      <c r="C58">
        <f t="shared" si="11"/>
        <v>9.6711140358432282</v>
      </c>
      <c r="D58">
        <f t="shared" si="12"/>
        <v>2.7952825749025578E-2</v>
      </c>
      <c r="E58">
        <f t="shared" ca="1" si="9"/>
        <v>1.9203424778677838E-2</v>
      </c>
      <c r="F58">
        <f t="shared" ca="1" si="13"/>
        <v>2.2555201890392486E-2</v>
      </c>
    </row>
    <row r="59" spans="1:6" x14ac:dyDescent="0.25">
      <c r="A59" t="str">
        <f>Quarterly_Firm!A47</f>
        <v>2024Q2</v>
      </c>
      <c r="B59">
        <f>Quarterly_Firm!K47</f>
        <v>16421</v>
      </c>
      <c r="C59">
        <f t="shared" si="11"/>
        <v>9.7063162824918372</v>
      </c>
      <c r="D59">
        <f t="shared" si="12"/>
        <v>3.5202246648609048E-2</v>
      </c>
      <c r="E59">
        <f t="shared" ca="1" si="9"/>
        <v>1.9766983560942718E-2</v>
      </c>
      <c r="F59">
        <f t="shared" ca="1" si="13"/>
        <v>2.3725837337414898E-2</v>
      </c>
    </row>
    <row r="60" spans="1:6" x14ac:dyDescent="0.25">
      <c r="A60" t="str">
        <f>Quarterly_Firm!A48</f>
        <v>2024Q3</v>
      </c>
      <c r="B60">
        <f>Quarterly_Firm!K48</f>
        <v>15138</v>
      </c>
      <c r="C60">
        <f t="shared" si="11"/>
        <v>9.6249634178691128</v>
      </c>
      <c r="D60">
        <f t="shared" si="12"/>
        <v>-8.1352864622724397E-2</v>
      </c>
      <c r="E60">
        <f t="shared" ca="1" si="9"/>
        <v>5.3320660158896055E-2</v>
      </c>
      <c r="F60">
        <f t="shared" ca="1" si="13"/>
        <v>3.5097160457998995E-2</v>
      </c>
    </row>
    <row r="61" spans="1:6" x14ac:dyDescent="0.25">
      <c r="A61" t="str">
        <f>Quarterly_Firm!A49</f>
        <v>2024Q4</v>
      </c>
      <c r="B61">
        <f>Quarterly_Firm!K49</f>
        <v>16162</v>
      </c>
      <c r="C61">
        <f t="shared" si="11"/>
        <v>9.6904180867933931</v>
      </c>
      <c r="D61">
        <f t="shared" si="12"/>
        <v>6.5454668924280313E-2</v>
      </c>
      <c r="E61">
        <f t="shared" ca="1" si="9"/>
        <v>6.419983853545308E-2</v>
      </c>
      <c r="F61">
        <f t="shared" ca="1" si="13"/>
        <v>3.9082136915186146E-2</v>
      </c>
    </row>
    <row r="62" spans="1:6" x14ac:dyDescent="0.25">
      <c r="A62" t="str">
        <f>Quarterly_Firm!A50</f>
        <v>2025Q1</v>
      </c>
      <c r="B62">
        <f>Quarterly_Firm!K50</f>
        <v>16588</v>
      </c>
      <c r="C62">
        <f t="shared" si="11"/>
        <v>9.7164348213662723</v>
      </c>
      <c r="D62">
        <f t="shared" si="12"/>
        <v>2.601673457287923E-2</v>
      </c>
      <c r="E62">
        <f t="shared" ca="1" si="9"/>
        <v>6.4044717484866731E-2</v>
      </c>
      <c r="F62">
        <f t="shared" ca="1" si="13"/>
        <v>3.9300132324765515E-2</v>
      </c>
    </row>
    <row r="63" spans="1:6" x14ac:dyDescent="0.25">
      <c r="A63" t="str">
        <f>Quarterly_Firm!A51</f>
        <v>2025Q2</v>
      </c>
      <c r="B63">
        <f>Quarterly_Firm!K51</f>
        <v>16233</v>
      </c>
      <c r="C63">
        <f t="shared" si="11"/>
        <v>9.6948014863108458</v>
      </c>
      <c r="D63">
        <f t="shared" si="12"/>
        <v>-2.1633335055426528E-2</v>
      </c>
      <c r="E63">
        <f t="shared" ca="1" si="9"/>
        <v>6.3283295049573238E-2</v>
      </c>
      <c r="F63">
        <f t="shared" ca="1" si="13"/>
        <v>3.9631305537350101E-2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3"/>
  <sheetViews>
    <sheetView topLeftCell="B1" workbookViewId="0">
      <pane ySplit="1" topLeftCell="A2" activePane="bottomLeft" state="frozen"/>
      <selection pane="bottomLeft" activeCell="L10" sqref="L10"/>
    </sheetView>
  </sheetViews>
  <sheetFormatPr defaultRowHeight="15" x14ac:dyDescent="0.25"/>
  <cols>
    <col min="1" max="9" width="22" customWidth="1"/>
    <col min="11" max="11" width="19.7109375" bestFit="1" customWidth="1"/>
    <col min="13" max="13" width="15.28515625" bestFit="1" customWidth="1"/>
    <col min="15" max="15" width="12" bestFit="1" customWidth="1"/>
    <col min="16" max="16" width="11" bestFit="1" customWidth="1"/>
  </cols>
  <sheetData>
    <row r="1" spans="1:15" x14ac:dyDescent="0.25">
      <c r="A1" t="s">
        <v>0</v>
      </c>
      <c r="B1" t="s">
        <v>4</v>
      </c>
      <c r="C1" t="s">
        <v>11</v>
      </c>
      <c r="D1" t="s">
        <v>16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15" x14ac:dyDescent="0.25">
      <c r="A2" t="s">
        <v>4963</v>
      </c>
      <c r="B2">
        <v>55078</v>
      </c>
      <c r="C2">
        <v>1201644.3345731653</v>
      </c>
      <c r="D2">
        <f t="shared" ref="D2:D3" si="0">IFERROR(B2/C2,"")</f>
        <v>4.5835525883425557E-2</v>
      </c>
      <c r="K2" s="7"/>
      <c r="M2" s="5"/>
      <c r="O2" s="6"/>
    </row>
    <row r="3" spans="1:15" x14ac:dyDescent="0.25">
      <c r="A3" t="s">
        <v>4962</v>
      </c>
      <c r="B3">
        <v>93727</v>
      </c>
      <c r="C3" s="9">
        <v>1494441.9098143238</v>
      </c>
      <c r="D3">
        <f t="shared" si="0"/>
        <v>6.2717058043189555E-2</v>
      </c>
      <c r="E3">
        <f>IF(ROW()&gt;2,IFERROR(B3-B2,""),"")</f>
        <v>38649</v>
      </c>
      <c r="K3" s="7"/>
      <c r="M3" s="5"/>
      <c r="O3" s="6"/>
    </row>
    <row r="4" spans="1:15" x14ac:dyDescent="0.25">
      <c r="A4" t="s">
        <v>4961</v>
      </c>
      <c r="B4">
        <v>104048</v>
      </c>
      <c r="C4" s="9">
        <v>1442896.0035327887</v>
      </c>
      <c r="D4">
        <f t="shared" ref="D4:D5" si="1">IFERROR(B4/C4,"")</f>
        <v>7.2110533084330908E-2</v>
      </c>
      <c r="E4">
        <f t="shared" ref="E4:E5" si="2">IF(ROW()&gt;2,IFERROR(B4-B3,""),"")</f>
        <v>10321</v>
      </c>
      <c r="K4" s="7"/>
      <c r="M4" s="5"/>
      <c r="O4" s="6"/>
    </row>
    <row r="5" spans="1:15" x14ac:dyDescent="0.25">
      <c r="A5" t="s">
        <v>4960</v>
      </c>
      <c r="B5">
        <v>6191</v>
      </c>
      <c r="C5" s="9">
        <v>1704071.9381761979</v>
      </c>
      <c r="D5">
        <f t="shared" si="1"/>
        <v>3.6330625845678718E-3</v>
      </c>
      <c r="E5">
        <f t="shared" si="2"/>
        <v>-97857</v>
      </c>
      <c r="K5" s="7"/>
      <c r="M5" s="5"/>
    </row>
    <row r="6" spans="1:15" x14ac:dyDescent="0.25">
      <c r="A6" t="s">
        <v>4955</v>
      </c>
      <c r="B6">
        <v>16649</v>
      </c>
      <c r="C6" s="9">
        <v>2030297.5657365944</v>
      </c>
      <c r="D6">
        <f t="shared" ref="D6:D9" si="3">IFERROR(B6/C6,"")</f>
        <v>8.2002758024091529E-3</v>
      </c>
      <c r="E6">
        <f t="shared" ref="E6:E9" si="4">IF(ROW()&gt;2,IFERROR(B6-B5,""),"")</f>
        <v>10458</v>
      </c>
      <c r="K6" s="7"/>
      <c r="M6" s="5"/>
      <c r="O6" s="6"/>
    </row>
    <row r="7" spans="1:15" x14ac:dyDescent="0.25">
      <c r="A7" t="s">
        <v>4954</v>
      </c>
      <c r="B7">
        <v>22174</v>
      </c>
      <c r="C7" s="9">
        <v>2201308.4215423986</v>
      </c>
      <c r="D7">
        <f t="shared" si="3"/>
        <v>1.0073100063126667E-2</v>
      </c>
      <c r="E7">
        <f t="shared" si="4"/>
        <v>5525</v>
      </c>
      <c r="K7" s="7"/>
      <c r="M7" s="5"/>
      <c r="O7" s="6"/>
    </row>
    <row r="8" spans="1:15" x14ac:dyDescent="0.25">
      <c r="A8" t="s">
        <v>4953</v>
      </c>
      <c r="B8">
        <v>-98923</v>
      </c>
      <c r="C8" s="9">
        <v>2312095.8857531454</v>
      </c>
      <c r="D8">
        <f t="shared" si="3"/>
        <v>-4.2784990280702255E-2</v>
      </c>
      <c r="E8">
        <f t="shared" si="4"/>
        <v>-121097</v>
      </c>
      <c r="K8" s="8"/>
      <c r="M8" s="5"/>
      <c r="O8" s="6"/>
    </row>
    <row r="9" spans="1:15" x14ac:dyDescent="0.25">
      <c r="A9" t="s">
        <v>4952</v>
      </c>
      <c r="B9">
        <v>122368</v>
      </c>
      <c r="C9" s="9">
        <v>2373787.9415731612</v>
      </c>
      <c r="D9">
        <f t="shared" si="3"/>
        <v>5.1549676302974246E-2</v>
      </c>
      <c r="E9">
        <f t="shared" si="4"/>
        <v>221291</v>
      </c>
    </row>
    <row r="10" spans="1:15" x14ac:dyDescent="0.25">
      <c r="A10" t="s">
        <v>4933</v>
      </c>
      <c r="B10">
        <v>-57868</v>
      </c>
      <c r="C10" s="9">
        <v>2346487.5816993467</v>
      </c>
      <c r="D10">
        <f>IFERROR(B10/C10,"")</f>
        <v>-2.4661541126968799E-2</v>
      </c>
      <c r="E10">
        <f t="shared" ref="E10:E14" si="5">IF(ROW()&gt;2,IFERROR(B10-B9,""),"")</f>
        <v>-180236</v>
      </c>
      <c r="K10" s="7"/>
      <c r="M10" s="5"/>
      <c r="O10" s="6"/>
    </row>
    <row r="11" spans="1:15" x14ac:dyDescent="0.25">
      <c r="A11" t="s">
        <v>4937</v>
      </c>
      <c r="B11">
        <v>7731</v>
      </c>
      <c r="C11" s="9">
        <v>2360209.335443038</v>
      </c>
      <c r="D11">
        <f t="shared" ref="D11:D13" si="6">IFERROR(B11/C11,"")</f>
        <v>3.2755569109503601E-3</v>
      </c>
      <c r="E11">
        <f>IF(ROW()&gt;2,IFERROR(B11-B10,""),"")</f>
        <v>65599</v>
      </c>
      <c r="K11" s="7"/>
      <c r="M11" s="5"/>
      <c r="O11" s="6"/>
    </row>
    <row r="12" spans="1:15" x14ac:dyDescent="0.25">
      <c r="A12" t="s">
        <v>4941</v>
      </c>
      <c r="B12">
        <v>-97009</v>
      </c>
      <c r="C12" s="9">
        <v>2427810.6487275762</v>
      </c>
      <c r="D12">
        <f t="shared" si="6"/>
        <v>-3.9957399499356651E-2</v>
      </c>
      <c r="E12">
        <f t="shared" si="5"/>
        <v>-104740</v>
      </c>
      <c r="K12" s="8"/>
      <c r="M12" s="5"/>
      <c r="O12" s="6"/>
    </row>
    <row r="13" spans="1:15" x14ac:dyDescent="0.25">
      <c r="A13" t="s">
        <v>4945</v>
      </c>
      <c r="B13">
        <v>167594</v>
      </c>
      <c r="C13" s="9">
        <v>2500001.3473091363</v>
      </c>
      <c r="D13">
        <f t="shared" si="6"/>
        <v>6.7037563871871084E-2</v>
      </c>
      <c r="E13">
        <f>IF(ROW()&gt;2,IFERROR(B13-B12,""),"")</f>
        <v>264603</v>
      </c>
    </row>
    <row r="14" spans="1:15" x14ac:dyDescent="0.25">
      <c r="A14" t="str">
        <f>Quarterly_Firm!A2</f>
        <v>2013Q1</v>
      </c>
      <c r="B14">
        <f>Quarterly_Firm!E2</f>
        <v>393</v>
      </c>
      <c r="C14">
        <f>Quarterly_Firm!L2</f>
        <v>2526278.5</v>
      </c>
      <c r="D14">
        <f>Quarterly_Firm!Q2</f>
        <v>1.5556479620121058E-4</v>
      </c>
      <c r="E14">
        <f t="shared" si="5"/>
        <v>-167201</v>
      </c>
      <c r="F14">
        <f ca="1">IF(ROW()&gt;=5,_xlfn.STDEV.S(OFFSET(D14,-3,0,4,1)),NA())</f>
        <v>4.4229129065018788E-2</v>
      </c>
      <c r="G14">
        <f ca="1">IF(ROW()&gt;=13,_xlfn.STDEV.S(OFFSET(D14,-11,0,12,1)),NA())</f>
        <v>4.0526171642317914E-2</v>
      </c>
      <c r="H14">
        <f ca="1">IF(ROW()&gt;=5,_xlfn.STDEV.S(OFFSET(E14,-3,0,4,1)),NA())</f>
        <v>193559.66554764623</v>
      </c>
      <c r="I14">
        <f ca="1">IF(ROW()&gt;=13,_xlfn.STDEV.S(OFFSET(E14,-11,0,12,1)),NA())</f>
        <v>141559.74523305334</v>
      </c>
    </row>
    <row r="15" spans="1:15" x14ac:dyDescent="0.25">
      <c r="A15" t="str">
        <f>Quarterly_Firm!A3</f>
        <v>2013Q2</v>
      </c>
      <c r="B15">
        <f>Quarterly_Firm!E3</f>
        <v>-158836</v>
      </c>
      <c r="C15">
        <f>Quarterly_Firm!L3</f>
        <v>2580672</v>
      </c>
      <c r="D15">
        <f>Quarterly_Firm!Q3</f>
        <v>-6.1548309897577064E-2</v>
      </c>
      <c r="E15">
        <f>IF(ROW()&gt;2,IFERROR(B15-B14,""),"")</f>
        <v>-159229</v>
      </c>
      <c r="F15">
        <f t="shared" ref="F15:F29" ca="1" si="7">IF(ROW()&gt;=5,_xlfn.STDEV.S(OFFSET(D15,-3,0,4,1)),NA())</f>
        <v>5.6522883558230125E-2</v>
      </c>
      <c r="G15">
        <f t="shared" ref="G15:G29" ca="1" si="8">IF(ROW()&gt;=13,_xlfn.STDEV.S(OFFSET(D15,-11,0,12,1)),NA())</f>
        <v>4.2834563351996542E-2</v>
      </c>
      <c r="H15">
        <f t="shared" ref="H15:H29" ca="1" si="9">IF(ROW()&gt;=5,_xlfn.STDEV.S(OFFSET(E15,-3,0,4,1)),NA())</f>
        <v>206041.35723906659</v>
      </c>
      <c r="I15">
        <f t="shared" ref="I15:I29" ca="1" si="10">IF(ROW()&gt;=13,_xlfn.STDEV.S(OFFSET(E15,-11,0,12,1)),NA())</f>
        <v>147470.93306908026</v>
      </c>
    </row>
    <row r="16" spans="1:15" x14ac:dyDescent="0.25">
      <c r="A16" t="str">
        <f>Quarterly_Firm!A4</f>
        <v>2013Q3</v>
      </c>
      <c r="B16">
        <f>Quarterly_Firm!E4</f>
        <v>164751</v>
      </c>
      <c r="C16">
        <f>Quarterly_Firm!L4</f>
        <v>2561740.5</v>
      </c>
      <c r="D16">
        <f>Quarterly_Firm!Q4</f>
        <v>6.4312134660009471E-2</v>
      </c>
      <c r="E16">
        <f t="shared" ref="E16:E29" si="11">IF(ROW()&gt;2,IFERROR(B16-B15,""),"")</f>
        <v>323587</v>
      </c>
      <c r="F16">
        <f t="shared" ca="1" si="7"/>
        <v>6.1086851975246242E-2</v>
      </c>
      <c r="G16">
        <f t="shared" ca="1" si="8"/>
        <v>4.1751480333378138E-2</v>
      </c>
      <c r="H16">
        <f t="shared" ca="1" si="9"/>
        <v>265143.84059726272</v>
      </c>
      <c r="I16">
        <f t="shared" ca="1" si="10"/>
        <v>178079.41585425427</v>
      </c>
    </row>
    <row r="17" spans="1:9" x14ac:dyDescent="0.25">
      <c r="A17" t="str">
        <f>Quarterly_Firm!A5</f>
        <v>2013Q4</v>
      </c>
      <c r="B17">
        <f>Quarterly_Firm!E5</f>
        <v>132567</v>
      </c>
      <c r="C17">
        <f>Quarterly_Firm!L5</f>
        <v>2417977</v>
      </c>
      <c r="D17">
        <f>Quarterly_Firm!Q5</f>
        <v>5.4825583535327259E-2</v>
      </c>
      <c r="E17">
        <f t="shared" si="11"/>
        <v>-32184</v>
      </c>
      <c r="F17">
        <f t="shared" ca="1" si="7"/>
        <v>5.80129107663825E-2</v>
      </c>
      <c r="G17">
        <f t="shared" ca="1" si="8"/>
        <v>4.4327420959448811E-2</v>
      </c>
      <c r="H17">
        <f t="shared" ca="1" si="9"/>
        <v>230034.55000263909</v>
      </c>
      <c r="I17">
        <f t="shared" ca="1" si="10"/>
        <v>175621.24604093237</v>
      </c>
    </row>
    <row r="18" spans="1:9" x14ac:dyDescent="0.25">
      <c r="A18" t="str">
        <f>Quarterly_Firm!A6</f>
        <v>2014Q1</v>
      </c>
      <c r="B18">
        <f>Quarterly_Firm!E6</f>
        <v>46168</v>
      </c>
      <c r="C18">
        <f>Quarterly_Firm!L6</f>
        <v>2357122</v>
      </c>
      <c r="D18">
        <f>Quarterly_Firm!Q6</f>
        <v>1.9586597554135932E-2</v>
      </c>
      <c r="E18">
        <f t="shared" si="11"/>
        <v>-86399</v>
      </c>
      <c r="F18">
        <f t="shared" ca="1" si="7"/>
        <v>5.7226714506715154E-2</v>
      </c>
      <c r="G18">
        <f t="shared" ca="1" si="8"/>
        <v>4.4464499163575026E-2</v>
      </c>
      <c r="H18">
        <f t="shared" ca="1" si="9"/>
        <v>214506.55033568709</v>
      </c>
      <c r="I18">
        <f t="shared" ca="1" si="10"/>
        <v>177836.68544965546</v>
      </c>
    </row>
    <row r="19" spans="1:9" x14ac:dyDescent="0.25">
      <c r="A19" t="str">
        <f>Quarterly_Firm!A7</f>
        <v>2014Q2</v>
      </c>
      <c r="B19">
        <f>Quarterly_Firm!E7</f>
        <v>-104572</v>
      </c>
      <c r="C19">
        <f>Quarterly_Firm!L7</f>
        <v>2450211.5</v>
      </c>
      <c r="D19">
        <f>Quarterly_Firm!Q7</f>
        <v>-4.2678764669907068E-2</v>
      </c>
      <c r="E19">
        <f t="shared" si="11"/>
        <v>-150740</v>
      </c>
      <c r="F19">
        <f t="shared" ca="1" si="7"/>
        <v>4.8445227014533188E-2</v>
      </c>
      <c r="G19">
        <f t="shared" ca="1" si="8"/>
        <v>4.6837925067145847E-2</v>
      </c>
      <c r="H19">
        <f t="shared" ca="1" si="9"/>
        <v>212285.61405333146</v>
      </c>
      <c r="I19">
        <f t="shared" ca="1" si="10"/>
        <v>183231.26903840469</v>
      </c>
    </row>
    <row r="20" spans="1:9" x14ac:dyDescent="0.25">
      <c r="A20" t="str">
        <f>Quarterly_Firm!A8</f>
        <v>2014Q3</v>
      </c>
      <c r="B20">
        <f>Quarterly_Firm!E8</f>
        <v>-28874</v>
      </c>
      <c r="C20">
        <f>Quarterly_Firm!L8</f>
        <v>2585293</v>
      </c>
      <c r="D20">
        <f>Quarterly_Firm!Q8</f>
        <v>-1.1168560004610696E-2</v>
      </c>
      <c r="E20">
        <f t="shared" si="11"/>
        <v>75698</v>
      </c>
      <c r="F20">
        <f t="shared" ca="1" si="7"/>
        <v>4.1753102759838491E-2</v>
      </c>
      <c r="G20">
        <f t="shared" ca="1" si="8"/>
        <v>4.4806448022283001E-2</v>
      </c>
      <c r="H20">
        <f t="shared" ca="1" si="9"/>
        <v>95883.039349598563</v>
      </c>
      <c r="I20">
        <f t="shared" ca="1" si="10"/>
        <v>181234.70178922353</v>
      </c>
    </row>
    <row r="21" spans="1:9" x14ac:dyDescent="0.25">
      <c r="A21" t="str">
        <f>Quarterly_Firm!A9</f>
        <v>2014Q4</v>
      </c>
      <c r="B21">
        <f>Quarterly_Firm!E9</f>
        <v>84980</v>
      </c>
      <c r="C21">
        <f>Quarterly_Firm!L9</f>
        <v>2602778.5</v>
      </c>
      <c r="D21">
        <f>Quarterly_Firm!Q9</f>
        <v>3.2649724131346557E-2</v>
      </c>
      <c r="E21">
        <f t="shared" si="11"/>
        <v>113854</v>
      </c>
      <c r="F21">
        <f t="shared" ca="1" si="7"/>
        <v>3.364126505384394E-2</v>
      </c>
      <c r="G21">
        <f t="shared" ca="1" si="8"/>
        <v>4.3397692143108575E-2</v>
      </c>
      <c r="H21">
        <f t="shared" ca="1" si="9"/>
        <v>126904.3270588123</v>
      </c>
      <c r="I21">
        <f t="shared" ca="1" si="10"/>
        <v>172044.29444151523</v>
      </c>
    </row>
    <row r="22" spans="1:9" x14ac:dyDescent="0.25">
      <c r="A22" t="str">
        <f>Quarterly_Firm!A10</f>
        <v>2015Q1</v>
      </c>
      <c r="B22">
        <f>Quarterly_Firm!E10</f>
        <v>-61930</v>
      </c>
      <c r="C22">
        <f>Quarterly_Firm!L10</f>
        <v>2637779.5</v>
      </c>
      <c r="D22">
        <f>Quarterly_Firm!Q10</f>
        <v>-2.3478080711446882E-2</v>
      </c>
      <c r="E22">
        <f t="shared" si="11"/>
        <v>-146910</v>
      </c>
      <c r="F22">
        <f t="shared" ca="1" si="7"/>
        <v>3.1960701505552552E-2</v>
      </c>
      <c r="G22">
        <f t="shared" ca="1" si="8"/>
        <v>4.3325064413057647E-2</v>
      </c>
      <c r="H22">
        <f t="shared" ca="1" si="9"/>
        <v>141511.7448824184</v>
      </c>
      <c r="I22">
        <f t="shared" ca="1" si="10"/>
        <v>169170.24177141793</v>
      </c>
    </row>
    <row r="23" spans="1:9" x14ac:dyDescent="0.25">
      <c r="A23" t="str">
        <f>Quarterly_Firm!A11</f>
        <v>2015Q2</v>
      </c>
      <c r="B23">
        <f>Quarterly_Firm!E11</f>
        <v>40323</v>
      </c>
      <c r="C23">
        <f>Quarterly_Firm!L11</f>
        <v>2598346.5</v>
      </c>
      <c r="D23">
        <f>Quarterly_Firm!Q11</f>
        <v>1.5518715460005045E-2</v>
      </c>
      <c r="E23">
        <f t="shared" si="11"/>
        <v>102253</v>
      </c>
      <c r="F23">
        <f t="shared" ca="1" si="7"/>
        <v>2.5410511346327144E-2</v>
      </c>
      <c r="G23">
        <f t="shared" ca="1" si="8"/>
        <v>4.3418373180312449E-2</v>
      </c>
      <c r="H23">
        <f t="shared" ca="1" si="9"/>
        <v>123129.34171397435</v>
      </c>
      <c r="I23">
        <f t="shared" ca="1" si="10"/>
        <v>170792.15971839201</v>
      </c>
    </row>
    <row r="24" spans="1:9" x14ac:dyDescent="0.25">
      <c r="A24" t="str">
        <f>Quarterly_Firm!A12</f>
        <v>2015Q3</v>
      </c>
      <c r="B24">
        <f>Quarterly_Firm!E12</f>
        <v>21499</v>
      </c>
      <c r="C24">
        <f>Quarterly_Firm!L12</f>
        <v>3035359</v>
      </c>
      <c r="D24">
        <f>Quarterly_Firm!Q12</f>
        <v>7.0828524731341496E-3</v>
      </c>
      <c r="E24">
        <f t="shared" si="11"/>
        <v>-18824</v>
      </c>
      <c r="F24">
        <f t="shared" ca="1" si="7"/>
        <v>2.3493529949823847E-2</v>
      </c>
      <c r="G24">
        <f t="shared" ca="1" si="8"/>
        <v>4.0916633785519983E-2</v>
      </c>
      <c r="H24">
        <f t="shared" ca="1" si="9"/>
        <v>122094.14484835052</v>
      </c>
      <c r="I24">
        <f t="shared" ca="1" si="10"/>
        <v>167649.9680819498</v>
      </c>
    </row>
    <row r="25" spans="1:9" x14ac:dyDescent="0.25">
      <c r="A25" t="str">
        <f>Quarterly_Firm!A13</f>
        <v>2015Q4</v>
      </c>
      <c r="B25">
        <f>Quarterly_Firm!E13</f>
        <v>-73814</v>
      </c>
      <c r="C25">
        <f>Quarterly_Firm!L13</f>
        <v>3623685.5</v>
      </c>
      <c r="D25">
        <f>Quarterly_Firm!Q13</f>
        <v>-2.0369869294672511E-2</v>
      </c>
      <c r="E25">
        <f t="shared" si="11"/>
        <v>-95313</v>
      </c>
      <c r="F25">
        <f t="shared" ca="1" si="7"/>
        <v>1.9530292623360552E-2</v>
      </c>
      <c r="G25">
        <f t="shared" ca="1" si="8"/>
        <v>3.7515678455651812E-2</v>
      </c>
      <c r="H25">
        <f t="shared" ca="1" si="9"/>
        <v>108279.34774615764</v>
      </c>
      <c r="I25">
        <f t="shared" ca="1" si="10"/>
        <v>149104.99974443472</v>
      </c>
    </row>
    <row r="26" spans="1:9" x14ac:dyDescent="0.25">
      <c r="A26" t="str">
        <f>Quarterly_Firm!A14</f>
        <v>2016Q1</v>
      </c>
      <c r="B26">
        <f>Quarterly_Firm!E14</f>
        <v>31320</v>
      </c>
      <c r="C26">
        <f>Quarterly_Firm!L14</f>
        <v>3719030</v>
      </c>
      <c r="D26">
        <f>Quarterly_Firm!Q14</f>
        <v>8.4215507807143264E-3</v>
      </c>
      <c r="E26">
        <f t="shared" si="11"/>
        <v>105134</v>
      </c>
      <c r="F26">
        <f t="shared" ca="1" si="7"/>
        <v>1.5795342040426076E-2</v>
      </c>
      <c r="G26">
        <f t="shared" ca="1" si="8"/>
        <v>3.7536441062919708E-2</v>
      </c>
      <c r="H26">
        <f t="shared" ca="1" si="9"/>
        <v>97935.104848397779</v>
      </c>
      <c r="I26">
        <f t="shared" ca="1" si="10"/>
        <v>145361.32804036667</v>
      </c>
    </row>
    <row r="27" spans="1:9" x14ac:dyDescent="0.25">
      <c r="A27" t="str">
        <f>Quarterly_Firm!A15</f>
        <v>2016Q2</v>
      </c>
      <c r="B27">
        <f>Quarterly_Firm!E15</f>
        <v>39042</v>
      </c>
      <c r="C27">
        <f>Quarterly_Firm!L15</f>
        <v>3823083</v>
      </c>
      <c r="D27">
        <f>Quarterly_Firm!Q15</f>
        <v>1.0212176926318367E-2</v>
      </c>
      <c r="E27">
        <f t="shared" si="11"/>
        <v>7722</v>
      </c>
      <c r="F27">
        <f t="shared" ca="1" si="7"/>
        <v>1.4527704797403913E-2</v>
      </c>
      <c r="G27">
        <f t="shared" ca="1" si="8"/>
        <v>3.1434884677639136E-2</v>
      </c>
      <c r="H27">
        <f t="shared" ca="1" si="9"/>
        <v>82767.32033185965</v>
      </c>
      <c r="I27">
        <f t="shared" ca="1" si="10"/>
        <v>136165.52720850345</v>
      </c>
    </row>
    <row r="28" spans="1:9" x14ac:dyDescent="0.25">
      <c r="A28" t="str">
        <f>Quarterly_Firm!A16</f>
        <v>2016Q3</v>
      </c>
      <c r="B28">
        <f>Quarterly_Firm!E16</f>
        <v>-49163</v>
      </c>
      <c r="C28">
        <f>Quarterly_Firm!L16</f>
        <v>3871267</v>
      </c>
      <c r="D28">
        <f>Quarterly_Firm!Q16</f>
        <v>-1.2699459892588137E-2</v>
      </c>
      <c r="E28">
        <f t="shared" si="11"/>
        <v>-88205</v>
      </c>
      <c r="F28">
        <f t="shared" ca="1" si="7"/>
        <v>1.526785604080335E-2</v>
      </c>
      <c r="G28">
        <f t="shared" ca="1" si="8"/>
        <v>2.6757526906559751E-2</v>
      </c>
      <c r="H28">
        <f t="shared" ca="1" si="9"/>
        <v>94391.379678796235</v>
      </c>
      <c r="I28">
        <f t="shared" ca="1" si="10"/>
        <v>98383.684382609747</v>
      </c>
    </row>
    <row r="29" spans="1:9" x14ac:dyDescent="0.25">
      <c r="A29" t="str">
        <f>Quarterly_Firm!A17</f>
        <v>2016Q4</v>
      </c>
      <c r="B29">
        <f>Quarterly_Firm!E17</f>
        <v>46016</v>
      </c>
      <c r="C29">
        <f>Quarterly_Firm!L17</f>
        <v>3884498.5</v>
      </c>
      <c r="D29">
        <f>Quarterly_Firm!Q17</f>
        <v>1.1846059407668712E-2</v>
      </c>
      <c r="E29">
        <f t="shared" si="11"/>
        <v>95179</v>
      </c>
      <c r="F29">
        <f t="shared" ca="1" si="7"/>
        <v>1.151493915382238E-2</v>
      </c>
      <c r="G29">
        <f t="shared" ca="1" si="8"/>
        <v>2.159055052298426E-2</v>
      </c>
      <c r="H29">
        <f t="shared" ca="1" si="9"/>
        <v>90115.008148846478</v>
      </c>
      <c r="I29">
        <f t="shared" ca="1" si="10"/>
        <v>103434.25025366539</v>
      </c>
    </row>
    <row r="30" spans="1:9" x14ac:dyDescent="0.25">
      <c r="A30" t="str">
        <f>Quarterly_Firm!A18</f>
        <v>2017Q1</v>
      </c>
      <c r="B30">
        <f>Quarterly_Firm!E18</f>
        <v>-13860</v>
      </c>
      <c r="C30">
        <f>Quarterly_Firm!L18</f>
        <v>3942680</v>
      </c>
      <c r="D30">
        <f>Quarterly_Firm!Q18</f>
        <v>-3.5153753284567859E-3</v>
      </c>
      <c r="E30">
        <f t="shared" ref="E30:E63" si="12">IF(ROW()&gt;2,IFERROR(B30-B29,""),"")</f>
        <v>-59876</v>
      </c>
      <c r="F30">
        <f t="shared" ref="F30:F63" ca="1" si="13">IF(ROW()&gt;=5,_xlfn.STDEV.S(OFFSET(D30,-3,0,4,1)),NA())</f>
        <v>1.1686395112639022E-2</v>
      </c>
      <c r="G30">
        <f t="shared" ref="G30:G63" ca="1" si="14">IF(ROW()&gt;=13,_xlfn.STDEV.S(OFFSET(D30,-11,0,12,1)),NA())</f>
        <v>2.0653791667480742E-2</v>
      </c>
      <c r="H30">
        <f t="shared" ref="H30:H63" ca="1" si="15">IF(ROW()&gt;=5,_xlfn.STDEV.S(OFFSET(E30,-3,0,4,1)),NA())</f>
        <v>81595.793653839777</v>
      </c>
      <c r="I30">
        <f t="shared" ref="I30:I63" ca="1" si="16">IF(ROW()&gt;=13,_xlfn.STDEV.S(OFFSET(E30,-11,0,12,1)),NA())</f>
        <v>101859.71181021772</v>
      </c>
    </row>
    <row r="31" spans="1:9" x14ac:dyDescent="0.25">
      <c r="A31" t="str">
        <f>Quarterly_Firm!A19</f>
        <v>2017Q2</v>
      </c>
      <c r="B31">
        <f>Quarterly_Firm!E19</f>
        <v>-8208</v>
      </c>
      <c r="C31">
        <f>Quarterly_Firm!L19</f>
        <v>4018986.5</v>
      </c>
      <c r="D31">
        <f>Quarterly_Firm!Q19</f>
        <v>-2.0423059395695904E-3</v>
      </c>
      <c r="E31">
        <f t="shared" si="12"/>
        <v>5652</v>
      </c>
      <c r="F31">
        <f t="shared" ca="1" si="13"/>
        <v>1.0130133102012306E-2</v>
      </c>
      <c r="G31">
        <f t="shared" ca="1" si="14"/>
        <v>1.6315924905681511E-2</v>
      </c>
      <c r="H31">
        <f t="shared" ca="1" si="15"/>
        <v>81441.397992667102</v>
      </c>
      <c r="I31">
        <f t="shared" ca="1" si="16"/>
        <v>90937.167278324981</v>
      </c>
    </row>
    <row r="32" spans="1:9" x14ac:dyDescent="0.25">
      <c r="A32" t="str">
        <f>Quarterly_Firm!A20</f>
        <v>2017Q3</v>
      </c>
      <c r="B32">
        <f>Quarterly_Firm!E20</f>
        <v>149200</v>
      </c>
      <c r="C32">
        <f>Quarterly_Firm!L20</f>
        <v>4055007</v>
      </c>
      <c r="D32">
        <f>Quarterly_Firm!Q20</f>
        <v>3.6794017864827361E-2</v>
      </c>
      <c r="E32">
        <f t="shared" si="12"/>
        <v>157408</v>
      </c>
      <c r="F32">
        <f t="shared" ca="1" si="13"/>
        <v>1.8678280970211441E-2</v>
      </c>
      <c r="G32">
        <f t="shared" ca="1" si="14"/>
        <v>1.8747324687676623E-2</v>
      </c>
      <c r="H32">
        <f t="shared" ca="1" si="15"/>
        <v>95945.177128660303</v>
      </c>
      <c r="I32">
        <f t="shared" ca="1" si="16"/>
        <v>99152.614001667331</v>
      </c>
    </row>
    <row r="33" spans="1:9" x14ac:dyDescent="0.25">
      <c r="A33" t="str">
        <f>Quarterly_Firm!A21</f>
        <v>2017Q4</v>
      </c>
      <c r="B33">
        <f>Quarterly_Firm!E21</f>
        <v>77028</v>
      </c>
      <c r="C33">
        <f>Quarterly_Firm!L21</f>
        <v>3731179</v>
      </c>
      <c r="D33">
        <f>Quarterly_Firm!Q21</f>
        <v>2.0644412932212579E-2</v>
      </c>
      <c r="E33">
        <f t="shared" si="12"/>
        <v>-72172</v>
      </c>
      <c r="F33">
        <f t="shared" ca="1" si="13"/>
        <v>1.9353013290618809E-2</v>
      </c>
      <c r="G33">
        <f t="shared" ca="1" si="14"/>
        <v>1.7412519484151661E-2</v>
      </c>
      <c r="H33">
        <f t="shared" ca="1" si="15"/>
        <v>105455.71028003494</v>
      </c>
      <c r="I33">
        <f t="shared" ca="1" si="16"/>
        <v>96778.553861458131</v>
      </c>
    </row>
    <row r="34" spans="1:9" x14ac:dyDescent="0.25">
      <c r="A34" t="str">
        <f>Quarterly_Firm!A22</f>
        <v>2018Q1</v>
      </c>
      <c r="B34">
        <f>Quarterly_Firm!E22</f>
        <v>-44626</v>
      </c>
      <c r="C34">
        <f>Quarterly_Firm!L22</f>
        <v>3773327</v>
      </c>
      <c r="D34">
        <f>Quarterly_Firm!Q22</f>
        <v>-1.1826698295695019E-2</v>
      </c>
      <c r="E34">
        <f t="shared" si="12"/>
        <v>-121654</v>
      </c>
      <c r="F34">
        <f t="shared" ca="1" si="13"/>
        <v>2.1980746191084706E-2</v>
      </c>
      <c r="G34">
        <f t="shared" ca="1" si="14"/>
        <v>1.6007030997602902E-2</v>
      </c>
      <c r="H34">
        <f t="shared" ca="1" si="15"/>
        <v>121903.07649795663</v>
      </c>
      <c r="I34">
        <f t="shared" ca="1" si="16"/>
        <v>93529.012579957343</v>
      </c>
    </row>
    <row r="35" spans="1:9" x14ac:dyDescent="0.25">
      <c r="A35" t="str">
        <f>Quarterly_Firm!A23</f>
        <v>2018Q2</v>
      </c>
      <c r="B35">
        <f>Quarterly_Firm!E23</f>
        <v>-149656</v>
      </c>
      <c r="C35">
        <f>Quarterly_Firm!L23</f>
        <v>4122664.5</v>
      </c>
      <c r="D35">
        <f>Quarterly_Firm!Q23</f>
        <v>-3.6300795274512396E-2</v>
      </c>
      <c r="E35">
        <f t="shared" si="12"/>
        <v>-105030</v>
      </c>
      <c r="F35">
        <f t="shared" ca="1" si="13"/>
        <v>3.2741088752421856E-2</v>
      </c>
      <c r="G35">
        <f t="shared" ca="1" si="14"/>
        <v>1.9517792915078463E-2</v>
      </c>
      <c r="H35">
        <f t="shared" ca="1" si="15"/>
        <v>130147.59376441297</v>
      </c>
      <c r="I35">
        <f t="shared" ca="1" si="16"/>
        <v>92351.771664315558</v>
      </c>
    </row>
    <row r="36" spans="1:9" x14ac:dyDescent="0.25">
      <c r="A36" t="str">
        <f>Quarterly_Firm!A24</f>
        <v>2018Q3</v>
      </c>
      <c r="B36">
        <f>Quarterly_Firm!E24</f>
        <v>33871</v>
      </c>
      <c r="C36">
        <f>Quarterly_Firm!L24</f>
        <v>4087956</v>
      </c>
      <c r="D36">
        <f>Quarterly_Firm!Q24</f>
        <v>8.2855588465237887E-3</v>
      </c>
      <c r="E36">
        <f t="shared" si="12"/>
        <v>183527</v>
      </c>
      <c r="F36">
        <f t="shared" ca="1" si="13"/>
        <v>2.4901971743357124E-2</v>
      </c>
      <c r="G36">
        <f t="shared" ca="1" si="14"/>
        <v>1.9556669995417355E-2</v>
      </c>
      <c r="H36">
        <f t="shared" ca="1" si="15"/>
        <v>143057.9828469911</v>
      </c>
      <c r="I36">
        <f t="shared" ca="1" si="16"/>
        <v>108770.01450767578</v>
      </c>
    </row>
    <row r="37" spans="1:9" x14ac:dyDescent="0.25">
      <c r="A37" t="str">
        <f>Quarterly_Firm!A25</f>
        <v>2018Q4</v>
      </c>
      <c r="B37">
        <f>Quarterly_Firm!E25</f>
        <v>80260</v>
      </c>
      <c r="C37">
        <f>Quarterly_Firm!L25</f>
        <v>3809034.5</v>
      </c>
      <c r="D37">
        <f>Quarterly_Firm!Q25</f>
        <v>2.1070956432660298E-2</v>
      </c>
      <c r="E37">
        <f t="shared" si="12"/>
        <v>46389</v>
      </c>
      <c r="F37">
        <f t="shared" ca="1" si="13"/>
        <v>2.5047733191017617E-2</v>
      </c>
      <c r="G37">
        <f t="shared" ca="1" si="14"/>
        <v>1.913534157822671E-2</v>
      </c>
      <c r="H37">
        <f t="shared" ca="1" si="15"/>
        <v>143367.22569448478</v>
      </c>
      <c r="I37">
        <f t="shared" ca="1" si="16"/>
        <v>104985.70048820935</v>
      </c>
    </row>
    <row r="38" spans="1:9" x14ac:dyDescent="0.25">
      <c r="A38" t="str">
        <f>Quarterly_Firm!A26</f>
        <v>2019Q1</v>
      </c>
      <c r="B38">
        <f>Quarterly_Firm!E26</f>
        <v>20311</v>
      </c>
      <c r="C38">
        <f>Quarterly_Firm!L26</f>
        <v>3872289</v>
      </c>
      <c r="D38">
        <f>Quarterly_Firm!Q26</f>
        <v>5.2452180092963105E-3</v>
      </c>
      <c r="E38">
        <f t="shared" si="12"/>
        <v>-59949</v>
      </c>
      <c r="F38">
        <f t="shared" ca="1" si="13"/>
        <v>2.4880876438242619E-2</v>
      </c>
      <c r="G38">
        <f t="shared" ca="1" si="14"/>
        <v>1.9094177968704384E-2</v>
      </c>
      <c r="H38">
        <f t="shared" ca="1" si="15"/>
        <v>128329.10693311163</v>
      </c>
      <c r="I38">
        <f t="shared" ca="1" si="16"/>
        <v>102580.71248131513</v>
      </c>
    </row>
    <row r="39" spans="1:9" x14ac:dyDescent="0.25">
      <c r="A39" t="str">
        <f>Quarterly_Firm!A27</f>
        <v>2019Q2</v>
      </c>
      <c r="B39">
        <f>Quarterly_Firm!E27</f>
        <v>93887</v>
      </c>
      <c r="C39">
        <f>Quarterly_Firm!L27</f>
        <v>4216452.5</v>
      </c>
      <c r="D39">
        <f>Quarterly_Firm!Q27</f>
        <v>2.2266822642968229E-2</v>
      </c>
      <c r="E39">
        <f t="shared" si="12"/>
        <v>73576</v>
      </c>
      <c r="F39">
        <f t="shared" ca="1" si="13"/>
        <v>8.7073001849530592E-3</v>
      </c>
      <c r="G39">
        <f t="shared" ca="1" si="14"/>
        <v>1.9757657106844795E-2</v>
      </c>
      <c r="H39">
        <f t="shared" ca="1" si="15"/>
        <v>100021.84963755003</v>
      </c>
      <c r="I39">
        <f t="shared" ca="1" si="16"/>
        <v>104821.95386590135</v>
      </c>
    </row>
    <row r="40" spans="1:9" x14ac:dyDescent="0.25">
      <c r="A40" t="str">
        <f>Quarterly_Firm!A28</f>
        <v>2019Q3</v>
      </c>
      <c r="B40">
        <f>Quarterly_Firm!E28</f>
        <v>7858</v>
      </c>
      <c r="C40">
        <f>Quarterly_Firm!L28</f>
        <v>4284188.5</v>
      </c>
      <c r="D40">
        <f>Quarterly_Firm!Q28</f>
        <v>1.8341863342380943E-3</v>
      </c>
      <c r="E40">
        <f t="shared" si="12"/>
        <v>-86029</v>
      </c>
      <c r="F40">
        <f t="shared" ca="1" si="13"/>
        <v>1.0570399725867258E-2</v>
      </c>
      <c r="G40">
        <f t="shared" ca="1" si="14"/>
        <v>1.9006518942135908E-2</v>
      </c>
      <c r="H40">
        <f t="shared" ca="1" si="15"/>
        <v>78296.59315012797</v>
      </c>
      <c r="I40">
        <f t="shared" ca="1" si="16"/>
        <v>104648.6085197201</v>
      </c>
    </row>
    <row r="41" spans="1:9" x14ac:dyDescent="0.25">
      <c r="A41" t="str">
        <f>Quarterly_Firm!A29</f>
        <v>2019Q4</v>
      </c>
      <c r="B41">
        <f>Quarterly_Firm!E29</f>
        <v>54069</v>
      </c>
      <c r="C41">
        <f>Quarterly_Firm!L29</f>
        <v>3792792.5</v>
      </c>
      <c r="D41">
        <f>Quarterly_Firm!Q29</f>
        <v>1.4255723190762478E-2</v>
      </c>
      <c r="E41">
        <f t="shared" si="12"/>
        <v>46211</v>
      </c>
      <c r="F41">
        <f t="shared" ca="1" si="13"/>
        <v>9.2128727145521869E-3</v>
      </c>
      <c r="G41">
        <f t="shared" ca="1" si="14"/>
        <v>1.9084257043597761E-2</v>
      </c>
      <c r="H41">
        <f t="shared" ca="1" si="15"/>
        <v>78256.551629347086</v>
      </c>
      <c r="I41">
        <f t="shared" ca="1" si="16"/>
        <v>101715.55870032715</v>
      </c>
    </row>
    <row r="42" spans="1:9" x14ac:dyDescent="0.25">
      <c r="A42" t="str">
        <f>Quarterly_Firm!A30</f>
        <v>2020Q1</v>
      </c>
      <c r="B42">
        <f>Quarterly_Firm!E30</f>
        <v>9960</v>
      </c>
      <c r="C42">
        <f>Quarterly_Firm!L30</f>
        <v>3108820</v>
      </c>
      <c r="D42">
        <f>Quarterly_Firm!Q30</f>
        <v>3.203787932398788E-3</v>
      </c>
      <c r="E42">
        <f t="shared" si="12"/>
        <v>-44109</v>
      </c>
      <c r="F42">
        <f t="shared" ca="1" si="13"/>
        <v>9.6755072765595581E-3</v>
      </c>
      <c r="G42">
        <f t="shared" ca="1" si="14"/>
        <v>1.8864433192548821E-2</v>
      </c>
      <c r="H42">
        <f t="shared" ca="1" si="15"/>
        <v>74985.979175554327</v>
      </c>
      <c r="I42">
        <f t="shared" ca="1" si="16"/>
        <v>100961.37593519253</v>
      </c>
    </row>
    <row r="43" spans="1:9" x14ac:dyDescent="0.25">
      <c r="A43" t="str">
        <f>Quarterly_Firm!A31</f>
        <v>2020Q2</v>
      </c>
      <c r="B43">
        <f>Quarterly_Firm!E31</f>
        <v>-17769</v>
      </c>
      <c r="C43">
        <f>Quarterly_Firm!L31</f>
        <v>3126880</v>
      </c>
      <c r="D43">
        <f>Quarterly_Firm!Q31</f>
        <v>-5.6826613109553295E-3</v>
      </c>
      <c r="E43">
        <f t="shared" si="12"/>
        <v>-27729</v>
      </c>
      <c r="F43">
        <f t="shared" ca="1" si="13"/>
        <v>8.2225645562725765E-3</v>
      </c>
      <c r="G43">
        <f t="shared" ca="1" si="14"/>
        <v>1.905058384149691E-2</v>
      </c>
      <c r="H43">
        <f t="shared" ca="1" si="15"/>
        <v>55179.045237602048</v>
      </c>
      <c r="I43">
        <f t="shared" ca="1" si="16"/>
        <v>101310.41903173811</v>
      </c>
    </row>
    <row r="44" spans="1:9" x14ac:dyDescent="0.25">
      <c r="A44" t="str">
        <f>Quarterly_Firm!A32</f>
        <v>2020Q3</v>
      </c>
      <c r="B44">
        <f>Quarterly_Firm!E32</f>
        <v>52456</v>
      </c>
      <c r="C44">
        <f>Quarterly_Firm!L32</f>
        <v>3272260.5</v>
      </c>
      <c r="D44">
        <f>Quarterly_Firm!Q32</f>
        <v>1.6030508573507518E-2</v>
      </c>
      <c r="E44">
        <f t="shared" si="12"/>
        <v>70225</v>
      </c>
      <c r="F44">
        <f t="shared" ca="1" si="13"/>
        <v>1.0156237006717871E-2</v>
      </c>
      <c r="G44">
        <f t="shared" ca="1" si="14"/>
        <v>1.6883409291815105E-2</v>
      </c>
      <c r="H44">
        <f t="shared" ca="1" si="15"/>
        <v>55630.516406615054</v>
      </c>
      <c r="I44">
        <f t="shared" ca="1" si="16"/>
        <v>91593.841996262854</v>
      </c>
    </row>
    <row r="45" spans="1:9" x14ac:dyDescent="0.25">
      <c r="A45" t="str">
        <f>Quarterly_Firm!A33</f>
        <v>2020Q4</v>
      </c>
      <c r="B45">
        <f>Quarterly_Firm!E33</f>
        <v>26180</v>
      </c>
      <c r="C45">
        <f>Quarterly_Firm!L33</f>
        <v>3353356.5</v>
      </c>
      <c r="D45">
        <f>Quarterly_Firm!Q33</f>
        <v>7.8071031219018915E-3</v>
      </c>
      <c r="E45">
        <f t="shared" si="12"/>
        <v>-26276</v>
      </c>
      <c r="F45">
        <f t="shared" ca="1" si="13"/>
        <v>9.0634069265769883E-3</v>
      </c>
      <c r="G45">
        <f t="shared" ca="1" si="14"/>
        <v>1.6188834507685445E-2</v>
      </c>
      <c r="H45">
        <f t="shared" ca="1" si="15"/>
        <v>52096.164422952803</v>
      </c>
      <c r="I45">
        <f t="shared" ca="1" si="16"/>
        <v>89610.202139684698</v>
      </c>
    </row>
    <row r="46" spans="1:9" x14ac:dyDescent="0.25">
      <c r="A46" t="str">
        <f>Quarterly_Firm!A34</f>
        <v>2021Q1</v>
      </c>
      <c r="B46">
        <f>Quarterly_Firm!E34</f>
        <v>23744</v>
      </c>
      <c r="C46">
        <f>Quarterly_Firm!L34</f>
        <v>3470639</v>
      </c>
      <c r="D46">
        <f>Quarterly_Firm!Q34</f>
        <v>6.8413914555792172E-3</v>
      </c>
      <c r="E46">
        <f t="shared" si="12"/>
        <v>-2436</v>
      </c>
      <c r="F46">
        <f t="shared" ca="1" si="13"/>
        <v>8.9595584816600446E-3</v>
      </c>
      <c r="G46">
        <f t="shared" ca="1" si="14"/>
        <v>1.5424426006228068E-2</v>
      </c>
      <c r="H46">
        <f t="shared" ca="1" si="15"/>
        <v>46004.748573743265</v>
      </c>
      <c r="I46">
        <f t="shared" ca="1" si="16"/>
        <v>81665.633048313641</v>
      </c>
    </row>
    <row r="47" spans="1:9" x14ac:dyDescent="0.25">
      <c r="A47" t="str">
        <f>Quarterly_Firm!A35</f>
        <v>2021Q2</v>
      </c>
      <c r="B47">
        <f>Quarterly_Firm!E35</f>
        <v>-40978</v>
      </c>
      <c r="C47">
        <f>Quarterly_Firm!L35</f>
        <v>3522841</v>
      </c>
      <c r="D47">
        <f>Quarterly_Firm!Q35</f>
        <v>-1.1632088987269081E-2</v>
      </c>
      <c r="E47">
        <f t="shared" si="12"/>
        <v>-64722</v>
      </c>
      <c r="F47">
        <f t="shared" ca="1" si="13"/>
        <v>1.1681066742775139E-2</v>
      </c>
      <c r="G47">
        <f t="shared" ca="1" si="14"/>
        <v>1.0078005266830798E-2</v>
      </c>
      <c r="H47">
        <f t="shared" ca="1" si="15"/>
        <v>56810.168575558142</v>
      </c>
      <c r="I47">
        <f t="shared" ca="1" si="16"/>
        <v>77415.622093288825</v>
      </c>
    </row>
    <row r="48" spans="1:9" x14ac:dyDescent="0.25">
      <c r="A48" t="str">
        <f>Quarterly_Firm!A36</f>
        <v>2021Q3</v>
      </c>
      <c r="B48">
        <f>Quarterly_Firm!E36</f>
        <v>-33118</v>
      </c>
      <c r="C48">
        <f>Quarterly_Firm!L36</f>
        <v>3666857</v>
      </c>
      <c r="D48">
        <f>Quarterly_Firm!Q36</f>
        <v>-9.0317129901711472E-3</v>
      </c>
      <c r="E48">
        <f t="shared" si="12"/>
        <v>7860</v>
      </c>
      <c r="F48">
        <f t="shared" ca="1" si="13"/>
        <v>1.0256491426897323E-2</v>
      </c>
      <c r="G48">
        <f t="shared" ca="1" si="14"/>
        <v>1.1133696851609812E-2</v>
      </c>
      <c r="H48">
        <f t="shared" ca="1" si="15"/>
        <v>32230.171097901421</v>
      </c>
      <c r="I48">
        <f t="shared" ca="1" si="16"/>
        <v>54701.558605779377</v>
      </c>
    </row>
    <row r="49" spans="1:9" x14ac:dyDescent="0.25">
      <c r="A49" t="str">
        <f>Quarterly_Firm!A37</f>
        <v>2021Q4</v>
      </c>
      <c r="B49">
        <f>Quarterly_Firm!E37</f>
        <v>170237</v>
      </c>
      <c r="C49">
        <f>Quarterly_Firm!L37</f>
        <v>3758318.5</v>
      </c>
      <c r="D49">
        <f>Quarterly_Firm!Q37</f>
        <v>4.5296054605270947E-2</v>
      </c>
      <c r="E49">
        <f t="shared" si="12"/>
        <v>203355</v>
      </c>
      <c r="F49">
        <f t="shared" ca="1" si="13"/>
        <v>2.6253678889027098E-2</v>
      </c>
      <c r="G49">
        <f t="shared" ca="1" si="14"/>
        <v>1.5465057501313353E-2</v>
      </c>
      <c r="H49">
        <f t="shared" ca="1" si="15"/>
        <v>116077.27626133377</v>
      </c>
      <c r="I49">
        <f t="shared" ca="1" si="16"/>
        <v>80800.251925190445</v>
      </c>
    </row>
    <row r="50" spans="1:9" x14ac:dyDescent="0.25">
      <c r="A50" t="str">
        <f>Quarterly_Firm!A38</f>
        <v>2022Q1</v>
      </c>
      <c r="B50">
        <f>Quarterly_Firm!E38</f>
        <v>67000</v>
      </c>
      <c r="C50">
        <f>Quarterly_Firm!L38</f>
        <v>3844496</v>
      </c>
      <c r="D50">
        <f>Quarterly_Firm!Q38</f>
        <v>1.7427511954752978E-2</v>
      </c>
      <c r="E50">
        <f t="shared" si="12"/>
        <v>-103237</v>
      </c>
      <c r="F50">
        <f t="shared" ca="1" si="13"/>
        <v>2.6646276289541398E-2</v>
      </c>
      <c r="G50">
        <f t="shared" ca="1" si="14"/>
        <v>1.5663762401313622E-2</v>
      </c>
      <c r="H50">
        <f t="shared" ca="1" si="15"/>
        <v>136374.58303510959</v>
      </c>
      <c r="I50">
        <f t="shared" ca="1" si="16"/>
        <v>84945.160495811011</v>
      </c>
    </row>
    <row r="51" spans="1:9" x14ac:dyDescent="0.25">
      <c r="A51" t="str">
        <f>Quarterly_Firm!A39</f>
        <v>2022Q2</v>
      </c>
      <c r="B51">
        <f>Quarterly_Firm!E39</f>
        <v>6672</v>
      </c>
      <c r="C51">
        <f>Quarterly_Firm!L39</f>
        <v>3904028</v>
      </c>
      <c r="D51">
        <f>Quarterly_Firm!Q39</f>
        <v>1.7090041362408262E-3</v>
      </c>
      <c r="E51">
        <f t="shared" si="12"/>
        <v>-60328</v>
      </c>
      <c r="F51">
        <f t="shared" ca="1" si="13"/>
        <v>2.3612352076604257E-2</v>
      </c>
      <c r="G51">
        <f t="shared" ca="1" si="14"/>
        <v>1.5204461386939507E-2</v>
      </c>
      <c r="H51">
        <f t="shared" ca="1" si="15"/>
        <v>135578.69885912511</v>
      </c>
      <c r="I51">
        <f t="shared" ca="1" si="16"/>
        <v>83745.451377653764</v>
      </c>
    </row>
    <row r="52" spans="1:9" x14ac:dyDescent="0.25">
      <c r="A52" t="str">
        <f>Quarterly_Firm!A40</f>
        <v>2022Q3</v>
      </c>
      <c r="B52">
        <f>Quarterly_Firm!E40</f>
        <v>64693</v>
      </c>
      <c r="C52">
        <f>Quarterly_Firm!L40</f>
        <v>3811321</v>
      </c>
      <c r="D52">
        <f>Quarterly_Firm!Q40</f>
        <v>1.6973904848214046E-2</v>
      </c>
      <c r="E52">
        <f t="shared" si="12"/>
        <v>58021</v>
      </c>
      <c r="F52">
        <f t="shared" ca="1" si="13"/>
        <v>1.8163436821695772E-2</v>
      </c>
      <c r="G52">
        <f t="shared" ca="1" si="14"/>
        <v>1.5333809334060505E-2</v>
      </c>
      <c r="H52">
        <f t="shared" ca="1" si="15"/>
        <v>137386.66879619969</v>
      </c>
      <c r="I52">
        <f t="shared" ca="1" si="16"/>
        <v>81729.287659292953</v>
      </c>
    </row>
    <row r="53" spans="1:9" x14ac:dyDescent="0.25">
      <c r="A53" t="str">
        <f>Quarterly_Firm!A41</f>
        <v>2022Q4</v>
      </c>
      <c r="B53">
        <f>Quarterly_Firm!E41</f>
        <v>168210</v>
      </c>
      <c r="C53">
        <f>Quarterly_Firm!L41</f>
        <v>3446168</v>
      </c>
      <c r="D53">
        <f>Quarterly_Firm!Q41</f>
        <v>4.8810737027330069E-2</v>
      </c>
      <c r="E53">
        <f t="shared" si="12"/>
        <v>103517</v>
      </c>
      <c r="F53">
        <f t="shared" ca="1" si="13"/>
        <v>1.9785007753546781E-2</v>
      </c>
      <c r="G53">
        <f t="shared" ca="1" si="14"/>
        <v>1.9239645071589241E-2</v>
      </c>
      <c r="H53">
        <f t="shared" ca="1" si="15"/>
        <v>97260.002571714955</v>
      </c>
      <c r="I53">
        <f t="shared" ca="1" si="16"/>
        <v>85938.803784093412</v>
      </c>
    </row>
    <row r="54" spans="1:9" x14ac:dyDescent="0.25">
      <c r="A54" t="str">
        <f>Quarterly_Firm!A42</f>
        <v>2023Q1</v>
      </c>
      <c r="B54">
        <f>Quarterly_Firm!E42</f>
        <v>102086</v>
      </c>
      <c r="C54">
        <f>Quarterly_Firm!L42</f>
        <v>3155057.5</v>
      </c>
      <c r="D54">
        <f>Quarterly_Firm!Q42</f>
        <v>3.2356304124409777E-2</v>
      </c>
      <c r="E54">
        <f t="shared" si="12"/>
        <v>-66124</v>
      </c>
      <c r="F54">
        <f t="shared" ca="1" si="13"/>
        <v>2.0231571623959728E-2</v>
      </c>
      <c r="G54">
        <f t="shared" ca="1" si="14"/>
        <v>1.9927908040084558E-2</v>
      </c>
      <c r="H54">
        <f t="shared" ca="1" si="15"/>
        <v>85217.955543418197</v>
      </c>
      <c r="I54">
        <f t="shared" ca="1" si="16"/>
        <v>87409.928419678588</v>
      </c>
    </row>
    <row r="55" spans="1:9" x14ac:dyDescent="0.25">
      <c r="A55" t="str">
        <f>Quarterly_Firm!A43</f>
        <v>2023Q2</v>
      </c>
      <c r="B55">
        <f>Quarterly_Firm!E43</f>
        <v>99531</v>
      </c>
      <c r="C55">
        <f>Quarterly_Firm!L43</f>
        <v>3084742</v>
      </c>
      <c r="D55">
        <f>Quarterly_Firm!Q43</f>
        <v>3.2265583312964259E-2</v>
      </c>
      <c r="E55">
        <f t="shared" si="12"/>
        <v>-2555</v>
      </c>
      <c r="F55">
        <f t="shared" ca="1" si="13"/>
        <v>1.3001718555692095E-2</v>
      </c>
      <c r="G55">
        <f t="shared" ca="1" si="14"/>
        <v>1.9543597381219295E-2</v>
      </c>
      <c r="H55">
        <f t="shared" ca="1" si="15"/>
        <v>73723.398955713739</v>
      </c>
      <c r="I55">
        <f t="shared" ca="1" si="16"/>
        <v>86782.770174101432</v>
      </c>
    </row>
    <row r="56" spans="1:9" x14ac:dyDescent="0.25">
      <c r="A56" t="str">
        <f>Quarterly_Firm!A44</f>
        <v>2023Q3</v>
      </c>
      <c r="B56">
        <f>Quarterly_Firm!E44</f>
        <v>1898</v>
      </c>
      <c r="C56">
        <f>Quarterly_Firm!L44</f>
        <v>2972355.5</v>
      </c>
      <c r="D56">
        <f>Quarterly_Firm!Q44</f>
        <v>6.385508059180673E-4</v>
      </c>
      <c r="E56">
        <f t="shared" si="12"/>
        <v>-97633</v>
      </c>
      <c r="F56">
        <f t="shared" ca="1" si="13"/>
        <v>2.0148083635049052E-2</v>
      </c>
      <c r="G56">
        <f t="shared" ca="1" si="14"/>
        <v>2.0114852393623782E-2</v>
      </c>
      <c r="H56">
        <f t="shared" ca="1" si="15"/>
        <v>88771.392487951889</v>
      </c>
      <c r="I56">
        <f t="shared" ca="1" si="16"/>
        <v>89634.607497564386</v>
      </c>
    </row>
    <row r="57" spans="1:9" x14ac:dyDescent="0.25">
      <c r="A57" t="str">
        <f>Quarterly_Firm!A45</f>
        <v>2023Q4</v>
      </c>
      <c r="B57">
        <f>Quarterly_Firm!E45</f>
        <v>-39359</v>
      </c>
      <c r="C57">
        <f>Quarterly_Firm!L45</f>
        <v>2886048.5</v>
      </c>
      <c r="D57">
        <f>Quarterly_Firm!Q45</f>
        <v>-1.3637677953090533E-2</v>
      </c>
      <c r="E57">
        <f t="shared" si="12"/>
        <v>-41257</v>
      </c>
      <c r="F57">
        <f t="shared" ca="1" si="13"/>
        <v>2.3152861199760903E-2</v>
      </c>
      <c r="G57">
        <f t="shared" ca="1" si="14"/>
        <v>2.1772700620875076E-2</v>
      </c>
      <c r="H57">
        <f t="shared" ca="1" si="15"/>
        <v>40174.750357033954</v>
      </c>
      <c r="I57">
        <f t="shared" ca="1" si="16"/>
        <v>90073.084425379348</v>
      </c>
    </row>
    <row r="58" spans="1:9" x14ac:dyDescent="0.25">
      <c r="A58" t="str">
        <f>Quarterly_Firm!A46</f>
        <v>2024Q1</v>
      </c>
      <c r="B58">
        <f>Quarterly_Firm!E46</f>
        <v>-20577</v>
      </c>
      <c r="C58">
        <f>Quarterly_Firm!L46</f>
        <v>2821719.5</v>
      </c>
      <c r="D58">
        <f>Quarterly_Firm!Q46</f>
        <v>-7.292361979991278E-3</v>
      </c>
      <c r="E58">
        <f t="shared" si="12"/>
        <v>18782</v>
      </c>
      <c r="F58">
        <f t="shared" ca="1" si="13"/>
        <v>2.0369877138922601E-2</v>
      </c>
      <c r="G58">
        <f t="shared" ca="1" si="14"/>
        <v>2.256318174042574E-2</v>
      </c>
      <c r="H58">
        <f t="shared" ca="1" si="15"/>
        <v>51094.948852601861</v>
      </c>
      <c r="I58">
        <f t="shared" ca="1" si="16"/>
        <v>90345.722912757687</v>
      </c>
    </row>
    <row r="59" spans="1:9" x14ac:dyDescent="0.25">
      <c r="A59" t="str">
        <f>Quarterly_Firm!A47</f>
        <v>2024Q2</v>
      </c>
      <c r="B59">
        <f>Quarterly_Firm!E47</f>
        <v>18273</v>
      </c>
      <c r="C59">
        <f>Quarterly_Firm!L47</f>
        <v>2754813</v>
      </c>
      <c r="D59">
        <f>Quarterly_Firm!Q47</f>
        <v>6.6331181100132749E-3</v>
      </c>
      <c r="E59">
        <f t="shared" si="12"/>
        <v>38850</v>
      </c>
      <c r="F59">
        <f t="shared" ca="1" si="13"/>
        <v>8.8869385707719874E-3</v>
      </c>
      <c r="G59">
        <f t="shared" ca="1" si="14"/>
        <v>2.1346719736937497E-2</v>
      </c>
      <c r="H59">
        <f t="shared" ca="1" si="15"/>
        <v>61767.610500973729</v>
      </c>
      <c r="I59">
        <f t="shared" ca="1" si="16"/>
        <v>88921.502932191244</v>
      </c>
    </row>
    <row r="60" spans="1:9" x14ac:dyDescent="0.25">
      <c r="A60" t="str">
        <f>Quarterly_Firm!A48</f>
        <v>2024Q3</v>
      </c>
      <c r="B60">
        <f>Quarterly_Firm!E48</f>
        <v>19363</v>
      </c>
      <c r="C60">
        <f>Quarterly_Firm!L48</f>
        <v>2734776</v>
      </c>
      <c r="D60">
        <f>Quarterly_Firm!Q48</f>
        <v>7.0802873800267369E-3</v>
      </c>
      <c r="E60">
        <f t="shared" si="12"/>
        <v>1090</v>
      </c>
      <c r="F60">
        <f t="shared" ca="1" si="13"/>
        <v>1.0332369448702809E-2</v>
      </c>
      <c r="G60">
        <f t="shared" ca="1" si="14"/>
        <v>2.0219601112710948E-2</v>
      </c>
      <c r="H60">
        <f t="shared" ca="1" si="15"/>
        <v>34103.556103677322</v>
      </c>
      <c r="I60">
        <f t="shared" ca="1" si="16"/>
        <v>88922.752222423966</v>
      </c>
    </row>
    <row r="61" spans="1:9" x14ac:dyDescent="0.25">
      <c r="A61" t="str">
        <f>Quarterly_Firm!A49</f>
        <v>2024Q4</v>
      </c>
      <c r="B61">
        <f>Quarterly_Firm!E49</f>
        <v>71088</v>
      </c>
      <c r="C61">
        <f>Quarterly_Firm!L49</f>
        <v>2824396</v>
      </c>
      <c r="D61">
        <f>Quarterly_Firm!Q49</f>
        <v>2.5169275129974692E-2</v>
      </c>
      <c r="E61">
        <f t="shared" si="12"/>
        <v>51725</v>
      </c>
      <c r="F61">
        <f t="shared" ca="1" si="13"/>
        <v>1.3308050459730306E-2</v>
      </c>
      <c r="G61">
        <f t="shared" ca="1" si="14"/>
        <v>1.8282311862816019E-2</v>
      </c>
      <c r="H61">
        <f t="shared" ca="1" si="15"/>
        <v>22279.398531303908</v>
      </c>
      <c r="I61">
        <f t="shared" ca="1" si="16"/>
        <v>65859.592399227797</v>
      </c>
    </row>
    <row r="62" spans="1:9" x14ac:dyDescent="0.25">
      <c r="A62" t="str">
        <f>Quarterly_Firm!A50</f>
        <v>2025Q1</v>
      </c>
      <c r="B62">
        <f>Quarterly_Firm!E50</f>
        <v>-10993</v>
      </c>
      <c r="C62">
        <f>Quarterly_Firm!L50</f>
        <v>2906536.5</v>
      </c>
      <c r="D62">
        <f>Quarterly_Firm!Q50</f>
        <v>-3.7821647861638759E-3</v>
      </c>
      <c r="E62">
        <f t="shared" si="12"/>
        <v>-82081</v>
      </c>
      <c r="F62">
        <f t="shared" ca="1" si="13"/>
        <v>1.2026558850208835E-2</v>
      </c>
      <c r="G62">
        <f t="shared" ca="1" si="14"/>
        <v>1.8935576741184595E-2</v>
      </c>
      <c r="H62">
        <f t="shared" ca="1" si="15"/>
        <v>60278.00461749432</v>
      </c>
      <c r="I62">
        <f t="shared" ca="1" si="16"/>
        <v>63320.296013002357</v>
      </c>
    </row>
    <row r="63" spans="1:9" x14ac:dyDescent="0.25">
      <c r="A63" t="str">
        <f>Quarterly_Firm!A51</f>
        <v>2025Q2</v>
      </c>
      <c r="B63">
        <f>Quarterly_Firm!E51</f>
        <v>-21847</v>
      </c>
      <c r="C63">
        <f>Quarterly_Firm!L51</f>
        <v>2915395.5</v>
      </c>
      <c r="D63">
        <f>Quarterly_Firm!Q51</f>
        <v>-7.4936659537273758E-3</v>
      </c>
      <c r="E63">
        <f t="shared" si="12"/>
        <v>-10854</v>
      </c>
      <c r="F63">
        <f t="shared" ca="1" si="13"/>
        <v>1.4652739490811348E-2</v>
      </c>
      <c r="G63">
        <f t="shared" ca="1" si="14"/>
        <v>1.9576524315808422E-2</v>
      </c>
      <c r="H63">
        <f t="shared" ca="1" si="15"/>
        <v>55164.48133234524</v>
      </c>
      <c r="I63">
        <f t="shared" ca="1" si="16"/>
        <v>61067.423033082989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1" width="22" customWidth="1"/>
  </cols>
  <sheetData>
    <row r="1" spans="1:11" x14ac:dyDescent="0.25">
      <c r="A1" t="s">
        <v>0</v>
      </c>
      <c r="B1" t="s">
        <v>12</v>
      </c>
      <c r="C1" t="s">
        <v>1</v>
      </c>
      <c r="D1" t="s">
        <v>42</v>
      </c>
      <c r="E1" t="s">
        <v>43</v>
      </c>
      <c r="F1" t="s">
        <v>13</v>
      </c>
      <c r="G1" t="s">
        <v>15</v>
      </c>
      <c r="H1" t="s">
        <v>14</v>
      </c>
      <c r="I1" t="s">
        <v>44</v>
      </c>
      <c r="J1" t="s">
        <v>45</v>
      </c>
      <c r="K1" t="s">
        <v>46</v>
      </c>
    </row>
    <row r="2" spans="1:11" x14ac:dyDescent="0.25">
      <c r="A2" t="str">
        <f>Quarterly_Firm!A2</f>
        <v>2013Q1</v>
      </c>
      <c r="B2">
        <f>Quarterly_Firm!M2</f>
        <v>4.4056900298205439E-3</v>
      </c>
      <c r="C2">
        <f>Quarterly_Firm!B2</f>
        <v>11130</v>
      </c>
      <c r="D2">
        <f ca="1">CFV_Calc!G14</f>
        <v>4.0526171642317914E-2</v>
      </c>
      <c r="E2">
        <f ca="1">FX_Calc!F14</f>
        <v>1.9212738256421821E-2</v>
      </c>
      <c r="F2">
        <f>Quarterly_Firm!N2</f>
        <v>0.89113538745518439</v>
      </c>
      <c r="G2">
        <f>Quarterly_Firm!P2</f>
        <v>14.728038218357888</v>
      </c>
      <c r="H2">
        <f>Quarterly_Firm!O2</f>
        <v>1.124463819893633</v>
      </c>
      <c r="I2">
        <f>Quarterly_Firm!J2</f>
        <v>0</v>
      </c>
      <c r="J2">
        <f ca="1">IFERROR(VLOOKUP(A2,Quarterly_FX!$A:$D,2,FALSE),NA())</f>
        <v>1.0576187673559186E-3</v>
      </c>
      <c r="K2">
        <f ca="1">IFERROR(VLOOKUP(A2,Quarterly_FX!$A:$D,3,FALSE),NA())</f>
        <v>5.0450092476131891E-3</v>
      </c>
    </row>
    <row r="3" spans="1:11" x14ac:dyDescent="0.25">
      <c r="A3" t="str">
        <f>Quarterly_Firm!A3</f>
        <v>2013Q2</v>
      </c>
      <c r="B3">
        <f>Quarterly_Firm!M3</f>
        <v>-2.4338621878332465E-3</v>
      </c>
      <c r="C3">
        <f>Quarterly_Firm!B3</f>
        <v>-6281</v>
      </c>
      <c r="D3">
        <f ca="1">CFV_Calc!G15</f>
        <v>4.2834563351996542E-2</v>
      </c>
      <c r="E3">
        <f ca="1">FX_Calc!F15</f>
        <v>1.9514688138905945E-2</v>
      </c>
      <c r="F3">
        <f>Quarterly_Firm!N3</f>
        <v>1.0819481652956284</v>
      </c>
      <c r="G3">
        <f>Quarterly_Firm!P3</f>
        <v>14.797863898963643</v>
      </c>
      <c r="H3">
        <f>Quarterly_Firm!O3</f>
        <v>1.0656310003034064</v>
      </c>
      <c r="I3">
        <f>Quarterly_Firm!J3</f>
        <v>0</v>
      </c>
      <c r="J3">
        <f ca="1">IFERROR(VLOOKUP(A3,Quarterly_FX!$A:$D,2,FALSE),NA())</f>
        <v>5.5437984891696752E-3</v>
      </c>
      <c r="K3">
        <f ca="1">IFERROR(VLOOKUP(A3,Quarterly_FX!$A:$D,3,FALSE),NA())</f>
        <v>3.1361245381436261E-3</v>
      </c>
    </row>
    <row r="4" spans="1:11" x14ac:dyDescent="0.25">
      <c r="A4" t="str">
        <f>Quarterly_Firm!A4</f>
        <v>2013Q3</v>
      </c>
      <c r="B4">
        <f>Quarterly_Firm!M4</f>
        <v>-1.860375787477303E-2</v>
      </c>
      <c r="C4">
        <f>Quarterly_Firm!B4</f>
        <v>-47658</v>
      </c>
      <c r="D4">
        <f ca="1">CFV_Calc!G16</f>
        <v>4.1751480333378138E-2</v>
      </c>
      <c r="E4">
        <f ca="1">FX_Calc!F16</f>
        <v>4.6194810668332739E-2</v>
      </c>
      <c r="F4">
        <f>Quarterly_Firm!N4</f>
        <v>0.99243825851593015</v>
      </c>
      <c r="G4">
        <f>Quarterly_Firm!P4</f>
        <v>14.71271917890798</v>
      </c>
      <c r="H4">
        <f>Quarterly_Firm!O4</f>
        <v>1.0203528135877835</v>
      </c>
      <c r="I4">
        <f>Quarterly_Firm!J4</f>
        <v>1</v>
      </c>
      <c r="J4">
        <f ca="1">IFERROR(VLOOKUP(A4,Quarterly_FX!$A:$D,2,FALSE),NA())</f>
        <v>2.7955215756898185E-2</v>
      </c>
      <c r="K4">
        <f ca="1">IFERROR(VLOOKUP(A4,Quarterly_FX!$A:$D,3,FALSE),NA())</f>
        <v>2.2795677426872121E-2</v>
      </c>
    </row>
    <row r="5" spans="1:11" x14ac:dyDescent="0.25">
      <c r="A5" t="str">
        <f>Quarterly_Firm!A5</f>
        <v>2013Q4</v>
      </c>
      <c r="B5">
        <f>Quarterly_Firm!M5</f>
        <v>-8.730025140851215E-3</v>
      </c>
      <c r="C5">
        <f>Quarterly_Firm!B5</f>
        <v>-21109</v>
      </c>
      <c r="D5">
        <f ca="1">CFV_Calc!G17</f>
        <v>4.4327420959448811E-2</v>
      </c>
      <c r="E5">
        <f ca="1">FX_Calc!F17</f>
        <v>4.6590776495264462E-2</v>
      </c>
      <c r="F5">
        <f>Quarterly_Firm!N5</f>
        <v>0.96923338481478616</v>
      </c>
      <c r="G5">
        <f>Quarterly_Firm!P5</f>
        <v>14.683957617604154</v>
      </c>
      <c r="H5">
        <f>Quarterly_Firm!O5</f>
        <v>0.962282552253795</v>
      </c>
      <c r="I5">
        <f>Quarterly_Firm!J5</f>
        <v>1</v>
      </c>
      <c r="J5">
        <f ca="1">IFERROR(VLOOKUP(A5,Quarterly_FX!$A:$D,2,FALSE),NA())</f>
        <v>2.0331594081221538E-2</v>
      </c>
      <c r="K5">
        <f ca="1">IFERROR(VLOOKUP(A5,Quarterly_FX!$A:$D,3,FALSE),NA())</f>
        <v>2.3472672722799463E-2</v>
      </c>
    </row>
    <row r="6" spans="1:11" x14ac:dyDescent="0.25">
      <c r="A6" t="str">
        <f>Quarterly_Firm!A6</f>
        <v>2014Q1</v>
      </c>
      <c r="B6">
        <f>Quarterly_Firm!M6</f>
        <v>-3.1191003265847079E-2</v>
      </c>
      <c r="C6">
        <f>Quarterly_Firm!B6</f>
        <v>-73521</v>
      </c>
      <c r="D6">
        <f ca="1">CFV_Calc!G18</f>
        <v>4.4464499163575026E-2</v>
      </c>
      <c r="E6">
        <f ca="1">FX_Calc!F18</f>
        <v>5.1097814494179168E-2</v>
      </c>
      <c r="F6">
        <f>Quarterly_Firm!N6</f>
        <v>1.0668384295440319</v>
      </c>
      <c r="G6">
        <f>Quarterly_Firm!P6</f>
        <v>14.661823790907793</v>
      </c>
      <c r="H6">
        <f>Quarterly_Firm!O6</f>
        <v>0.96126156345380298</v>
      </c>
      <c r="I6">
        <f>Quarterly_Firm!J6</f>
        <v>1</v>
      </c>
      <c r="J6">
        <f ca="1">IFERROR(VLOOKUP(A6,Quarterly_FX!$A:$D,2,FALSE),NA())</f>
        <v>2.5398804067607954E-2</v>
      </c>
      <c r="K6">
        <f ca="1">IFERROR(VLOOKUP(A6,Quarterly_FX!$A:$D,3,FALSE),NA())</f>
        <v>3.0833376987334508E-2</v>
      </c>
    </row>
    <row r="7" spans="1:11" x14ac:dyDescent="0.25">
      <c r="A7" t="str">
        <f>Quarterly_Firm!A7</f>
        <v>2014Q2</v>
      </c>
      <c r="B7">
        <f>Quarterly_Firm!M7</f>
        <v>-7.2903910539967674E-3</v>
      </c>
      <c r="C7">
        <f>Quarterly_Firm!B7</f>
        <v>-17863</v>
      </c>
      <c r="D7">
        <f ca="1">CFV_Calc!G19</f>
        <v>4.6837925067145847E-2</v>
      </c>
      <c r="E7">
        <f ca="1">FX_Calc!F19</f>
        <v>5.0293682665133163E-2</v>
      </c>
      <c r="F7">
        <f>Quarterly_Firm!N7</f>
        <v>1.2628199530984932</v>
      </c>
      <c r="G7">
        <f>Quarterly_Firm!P7</f>
        <v>14.759177517821906</v>
      </c>
      <c r="H7">
        <f>Quarterly_Firm!O7</f>
        <v>0.90706057612347657</v>
      </c>
      <c r="I7">
        <f>Quarterly_Firm!J7</f>
        <v>1</v>
      </c>
      <c r="J7">
        <f ca="1">IFERROR(VLOOKUP(A7,Quarterly_FX!$A:$D,2,FALSE),NA())</f>
        <v>1.5866794226396815E-2</v>
      </c>
      <c r="K7">
        <f ca="1">IFERROR(VLOOKUP(A7,Quarterly_FX!$A:$D,3,FALSE),NA())</f>
        <v>3.1150248839173725E-2</v>
      </c>
    </row>
    <row r="8" spans="1:11" x14ac:dyDescent="0.25">
      <c r="A8" t="str">
        <f>Quarterly_Firm!A8</f>
        <v>2014Q3</v>
      </c>
      <c r="B8">
        <f>Quarterly_Firm!M8</f>
        <v>-9.056226895752242E-3</v>
      </c>
      <c r="C8">
        <f>Quarterly_Firm!B8</f>
        <v>-23413</v>
      </c>
      <c r="D8">
        <f ca="1">CFV_Calc!G20</f>
        <v>4.4806448022283001E-2</v>
      </c>
      <c r="E8">
        <f ca="1">FX_Calc!F20</f>
        <v>5.0339211878806016E-2</v>
      </c>
      <c r="F8">
        <f>Quarterly_Firm!N8</f>
        <v>1.4286045897505792</v>
      </c>
      <c r="G8">
        <f>Quarterly_Firm!P8</f>
        <v>14.771483434977133</v>
      </c>
      <c r="H8">
        <f>Quarterly_Firm!O8</f>
        <v>0.90545296131168107</v>
      </c>
      <c r="I8">
        <f>Quarterly_Firm!J8</f>
        <v>1</v>
      </c>
      <c r="J8">
        <f ca="1">IFERROR(VLOOKUP(A8,Quarterly_FX!$A:$D,2,FALSE),NA())</f>
        <v>1.7916165504047274E-2</v>
      </c>
      <c r="K8">
        <f ca="1">IFERROR(VLOOKUP(A8,Quarterly_FX!$A:$D,3,FALSE),NA())</f>
        <v>2.3508690382733077E-2</v>
      </c>
    </row>
    <row r="9" spans="1:11" x14ac:dyDescent="0.25">
      <c r="A9" t="str">
        <f>Quarterly_Firm!A9</f>
        <v>2014Q4</v>
      </c>
      <c r="B9">
        <f>Quarterly_Firm!M9</f>
        <v>-1.7484007955344643E-2</v>
      </c>
      <c r="C9">
        <f>Quarterly_Firm!B9</f>
        <v>-45507</v>
      </c>
      <c r="D9">
        <f ca="1">CFV_Calc!G21</f>
        <v>4.3397692143108575E-2</v>
      </c>
      <c r="E9">
        <f ca="1">FX_Calc!F21</f>
        <v>5.0399773291717014E-2</v>
      </c>
      <c r="F9">
        <f>Quarterly_Firm!N9</f>
        <v>1.52016010240052</v>
      </c>
      <c r="G9">
        <f>Quarterly_Firm!P9</f>
        <v>14.772696369687887</v>
      </c>
      <c r="H9">
        <f>Quarterly_Firm!O9</f>
        <v>0.74904602365394346</v>
      </c>
      <c r="I9">
        <f>Quarterly_Firm!J9</f>
        <v>1</v>
      </c>
      <c r="J9">
        <f ca="1">IFERROR(VLOOKUP(A9,Quarterly_FX!$A:$D,2,FALSE),NA())</f>
        <v>1.2220506311953299E-2</v>
      </c>
      <c r="K9">
        <f ca="1">IFERROR(VLOOKUP(A9,Quarterly_FX!$A:$D,3,FALSE),NA())</f>
        <v>2.1151016328550241E-2</v>
      </c>
    </row>
    <row r="10" spans="1:11" x14ac:dyDescent="0.25">
      <c r="A10" t="str">
        <f>Quarterly_Firm!A10</f>
        <v>2015Q1</v>
      </c>
      <c r="B10">
        <f>Quarterly_Firm!M10</f>
        <v>-1.7653484682855408E-2</v>
      </c>
      <c r="C10">
        <f>Quarterly_Firm!B10</f>
        <v>-46566</v>
      </c>
      <c r="D10">
        <f ca="1">CFV_Calc!G22</f>
        <v>4.3325064413057647E-2</v>
      </c>
      <c r="E10">
        <f ca="1">FX_Calc!F22</f>
        <v>5.0635928063082689E-2</v>
      </c>
      <c r="F10">
        <f>Quarterly_Firm!N10</f>
        <v>1.8273073223669316</v>
      </c>
      <c r="G10">
        <f>Quarterly_Firm!P10</f>
        <v>14.798039116338465</v>
      </c>
      <c r="H10">
        <f>Quarterly_Firm!O10</f>
        <v>0.73238528573346184</v>
      </c>
      <c r="I10">
        <f>Quarterly_Firm!J10</f>
        <v>1</v>
      </c>
      <c r="J10">
        <f ca="1">IFERROR(VLOOKUP(A10,Quarterly_FX!$A:$D,2,FALSE),NA())</f>
        <v>7.1444446050743871E-3</v>
      </c>
      <c r="K10">
        <f ca="1">IFERROR(VLOOKUP(A10,Quarterly_FX!$A:$D,3,FALSE),NA())</f>
        <v>1.364775281743236E-2</v>
      </c>
    </row>
    <row r="11" spans="1:11" x14ac:dyDescent="0.25">
      <c r="A11" t="str">
        <f>Quarterly_Firm!A11</f>
        <v>2015Q2</v>
      </c>
      <c r="B11">
        <f>Quarterly_Firm!M11</f>
        <v>-4.0492290000583062E-2</v>
      </c>
      <c r="C11">
        <f>Quarterly_Firm!B11</f>
        <v>-105213</v>
      </c>
      <c r="D11">
        <f ca="1">CFV_Calc!G23</f>
        <v>4.3418373180312449E-2</v>
      </c>
      <c r="E11">
        <f ca="1">FX_Calc!F23</f>
        <v>5.0720070586298745E-2</v>
      </c>
      <c r="F11">
        <f>Quarterly_Firm!N11</f>
        <v>2.0375561530687021</v>
      </c>
      <c r="G11">
        <f>Quarterly_Firm!P11</f>
        <v>14.741946057233132</v>
      </c>
      <c r="H11">
        <f>Quarterly_Firm!O11</f>
        <v>0.59184852934274657</v>
      </c>
      <c r="I11">
        <f>Quarterly_Firm!J11</f>
        <v>1</v>
      </c>
      <c r="J11">
        <f ca="1">IFERROR(VLOOKUP(A11,Quarterly_FX!$A:$D,2,FALSE),NA())</f>
        <v>1.3347354817636582E-2</v>
      </c>
      <c r="K11">
        <f ca="1">IFERROR(VLOOKUP(A11,Quarterly_FX!$A:$D,3,FALSE),NA())</f>
        <v>1.3234297856915711E-2</v>
      </c>
    </row>
    <row r="12" spans="1:11" x14ac:dyDescent="0.25">
      <c r="A12" t="str">
        <f>Quarterly_Firm!A12</f>
        <v>2015Q3</v>
      </c>
      <c r="B12">
        <f>Quarterly_Firm!M12</f>
        <v>0.34944993326983725</v>
      </c>
      <c r="C12">
        <f>Quarterly_Firm!B12</f>
        <v>1060706</v>
      </c>
      <c r="D12">
        <f ca="1">CFV_Calc!G24</f>
        <v>4.0916633785519983E-2</v>
      </c>
      <c r="E12">
        <f ca="1">FX_Calc!F24</f>
        <v>5.3789384352911397E-2</v>
      </c>
      <c r="F12">
        <f>Quarterly_Firm!N12</f>
        <v>0.79401926164797065</v>
      </c>
      <c r="G12">
        <f>Quarterly_Firm!P12</f>
        <v>15.08111274974878</v>
      </c>
      <c r="H12">
        <f>Quarterly_Firm!O12</f>
        <v>0.59302962773535961</v>
      </c>
      <c r="I12">
        <f>Quarterly_Firm!J12</f>
        <v>1</v>
      </c>
      <c r="J12">
        <f ca="1">IFERROR(VLOOKUP(A12,Quarterly_FX!$A:$D,2,FALSE),NA())</f>
        <v>2.1039598772007007E-2</v>
      </c>
      <c r="K12">
        <f ca="1">IFERROR(VLOOKUP(A12,Quarterly_FX!$A:$D,3,FALSE),NA())</f>
        <v>1.4310775489959099E-2</v>
      </c>
    </row>
    <row r="13" spans="1:11" x14ac:dyDescent="0.25">
      <c r="A13" t="str">
        <f>Quarterly_Firm!A13</f>
        <v>2015Q4</v>
      </c>
      <c r="B13">
        <f>Quarterly_Firm!M13</f>
        <v>-1.8644002080202601E-3</v>
      </c>
      <c r="C13">
        <f>Quarterly_Firm!B13</f>
        <v>-6756</v>
      </c>
      <c r="D13">
        <f ca="1">CFV_Calc!G25</f>
        <v>3.7515678455651812E-2</v>
      </c>
      <c r="E13">
        <f ca="1">FX_Calc!F25</f>
        <v>6.0241207709949576E-2</v>
      </c>
      <c r="F13">
        <f>Quarterly_Firm!N13</f>
        <v>0.91049362174774573</v>
      </c>
      <c r="G13">
        <f>Quarterly_Firm!P13</f>
        <v>15.124422669252107</v>
      </c>
      <c r="H13">
        <f>Quarterly_Firm!O13</f>
        <v>0.60893575290703028</v>
      </c>
      <c r="I13">
        <f>Quarterly_Firm!J13</f>
        <v>1</v>
      </c>
      <c r="J13">
        <f ca="1">IFERROR(VLOOKUP(A13,Quarterly_FX!$A:$D,2,FALSE),NA())</f>
        <v>2.854949054610062E-2</v>
      </c>
      <c r="K13">
        <f ca="1">IFERROR(VLOOKUP(A13,Quarterly_FX!$A:$D,3,FALSE),NA())</f>
        <v>2.2481700308357343E-2</v>
      </c>
    </row>
    <row r="14" spans="1:11" x14ac:dyDescent="0.25">
      <c r="A14" t="str">
        <f>Quarterly_Firm!A14</f>
        <v>2016Q1</v>
      </c>
      <c r="B14">
        <f>Quarterly_Firm!M14</f>
        <v>1.2666205973062868E-2</v>
      </c>
      <c r="C14">
        <f>Quarterly_Firm!B14</f>
        <v>47106</v>
      </c>
      <c r="D14">
        <f ca="1">CFV_Calc!G26</f>
        <v>3.7536441062919708E-2</v>
      </c>
      <c r="E14">
        <f ca="1">FX_Calc!F26</f>
        <v>6.3085153519799278E-2</v>
      </c>
      <c r="F14">
        <f>Quarterly_Firm!N14</f>
        <v>0.89019191798654218</v>
      </c>
      <c r="G14">
        <f>Quarterly_Firm!P14</f>
        <v>15.133503594138061</v>
      </c>
      <c r="H14">
        <f>Quarterly_Firm!O14</f>
        <v>0.64480450690800051</v>
      </c>
      <c r="I14">
        <f>Quarterly_Firm!J14</f>
        <v>1</v>
      </c>
      <c r="J14">
        <f ca="1">IFERROR(VLOOKUP(A14,Quarterly_FX!$A:$D,2,FALSE),NA())</f>
        <v>1.6221471724582298E-2</v>
      </c>
      <c r="K14">
        <f ca="1">IFERROR(VLOOKUP(A14,Quarterly_FX!$A:$D,3,FALSE),NA())</f>
        <v>2.5108796615220329E-2</v>
      </c>
    </row>
    <row r="15" spans="1:11" x14ac:dyDescent="0.25">
      <c r="A15" t="str">
        <f>Quarterly_Firm!A15</f>
        <v>2016Q2</v>
      </c>
      <c r="B15">
        <f>Quarterly_Firm!M15</f>
        <v>-5.1827281803717056E-3</v>
      </c>
      <c r="C15">
        <f>Quarterly_Firm!B15</f>
        <v>-19814</v>
      </c>
      <c r="D15">
        <f ca="1">CFV_Calc!G27</f>
        <v>3.1434884677639136E-2</v>
      </c>
      <c r="E15">
        <f ca="1">FX_Calc!F27</f>
        <v>6.3812837028444133E-2</v>
      </c>
      <c r="F15">
        <f>Quarterly_Firm!N15</f>
        <v>0.96942981035542664</v>
      </c>
      <c r="G15">
        <f>Quarterly_Firm!P15</f>
        <v>15.179111868536488</v>
      </c>
      <c r="H15">
        <f>Quarterly_Firm!O15</f>
        <v>0.7604325413341928</v>
      </c>
      <c r="I15">
        <f>Quarterly_Firm!J15</f>
        <v>1</v>
      </c>
      <c r="J15">
        <f ca="1">IFERROR(VLOOKUP(A15,Quarterly_FX!$A:$D,2,FALSE),NA())</f>
        <v>1.0596592658803501E-2</v>
      </c>
      <c r="K15">
        <f ca="1">IFERROR(VLOOKUP(A15,Quarterly_FX!$A:$D,3,FALSE),NA())</f>
        <v>2.4783657358835896E-2</v>
      </c>
    </row>
    <row r="16" spans="1:11" x14ac:dyDescent="0.25">
      <c r="A16" t="str">
        <f>Quarterly_Firm!A16</f>
        <v>2016Q3</v>
      </c>
      <c r="B16">
        <f>Quarterly_Firm!M16</f>
        <v>-4.0121231627784906E-3</v>
      </c>
      <c r="C16">
        <f>Quarterly_Firm!B16</f>
        <v>-15532</v>
      </c>
      <c r="D16">
        <f ca="1">CFV_Calc!G28</f>
        <v>2.6757526906559751E-2</v>
      </c>
      <c r="E16">
        <f ca="1">FX_Calc!F28</f>
        <v>4.8682388898652229E-2</v>
      </c>
      <c r="F16">
        <f>Quarterly_Firm!N16</f>
        <v>0.98725124481765825</v>
      </c>
      <c r="G16">
        <f>Quarterly_Firm!P16</f>
        <v>15.158971528061539</v>
      </c>
      <c r="H16">
        <f>Quarterly_Firm!O16</f>
        <v>0.71792772875987532</v>
      </c>
      <c r="I16">
        <f>Quarterly_Firm!J16</f>
        <v>1</v>
      </c>
      <c r="J16">
        <f ca="1">IFERROR(VLOOKUP(A16,Quarterly_FX!$A:$D,2,FALSE),NA())</f>
        <v>1.0590068270892669E-2</v>
      </c>
      <c r="K16">
        <f ca="1">IFERROR(VLOOKUP(A16,Quarterly_FX!$A:$D,3,FALSE),NA())</f>
        <v>1.7572300399690727E-2</v>
      </c>
    </row>
    <row r="17" spans="1:11" x14ac:dyDescent="0.25">
      <c r="A17" t="str">
        <f>Quarterly_Firm!A17</f>
        <v>2016Q4</v>
      </c>
      <c r="B17">
        <f>Quarterly_Firm!M17</f>
        <v>-2.5123191578011937E-2</v>
      </c>
      <c r="C17">
        <f>Quarterly_Firm!B17</f>
        <v>-97591</v>
      </c>
      <c r="D17">
        <f ca="1">CFV_Calc!G29</f>
        <v>2.159055052298426E-2</v>
      </c>
      <c r="E17">
        <f ca="1">FX_Calc!F29</f>
        <v>4.7760749514848488E-2</v>
      </c>
      <c r="F17">
        <f>Quarterly_Firm!N17</f>
        <v>0.96798351014879247</v>
      </c>
      <c r="G17">
        <f>Quarterly_Firm!P17</f>
        <v>15.185856669122879</v>
      </c>
      <c r="H17">
        <f>Quarterly_Firm!O17</f>
        <v>0.81447381423126641</v>
      </c>
      <c r="I17">
        <f>Quarterly_Firm!J17</f>
        <v>1</v>
      </c>
      <c r="J17">
        <f ca="1">IFERROR(VLOOKUP(A17,Quarterly_FX!$A:$D,2,FALSE),NA())</f>
        <v>1.5566528354197685E-2</v>
      </c>
      <c r="K17">
        <f ca="1">IFERROR(VLOOKUP(A17,Quarterly_FX!$A:$D,3,FALSE),NA())</f>
        <v>1.5172456220685748E-2</v>
      </c>
    </row>
    <row r="18" spans="1:11" x14ac:dyDescent="0.25">
      <c r="A18" t="str">
        <f>Quarterly_Firm!A18</f>
        <v>2017Q1</v>
      </c>
      <c r="B18">
        <f>Quarterly_Firm!M18</f>
        <v>-3.7205657065752231E-3</v>
      </c>
      <c r="C18">
        <f>Quarterly_Firm!B18</f>
        <v>-14669</v>
      </c>
      <c r="D18">
        <f ca="1">CFV_Calc!G30</f>
        <v>2.0653791667480742E-2</v>
      </c>
      <c r="E18">
        <f ca="1">FX_Calc!F30</f>
        <v>4.2117926562725672E-2</v>
      </c>
      <c r="F18">
        <f>Quarterly_Firm!N18</f>
        <v>1.0192870281735598</v>
      </c>
      <c r="G18">
        <f>Quarterly_Firm!P18</f>
        <v>15.188883546554372</v>
      </c>
      <c r="H18">
        <f>Quarterly_Firm!O18</f>
        <v>0.8090248843945077</v>
      </c>
      <c r="I18">
        <f>Quarterly_Firm!J18</f>
        <v>1</v>
      </c>
      <c r="J18">
        <f ca="1">IFERROR(VLOOKUP(A18,Quarterly_FX!$A:$D,2,FALSE),NA())</f>
        <v>2.6280928795367896E-3</v>
      </c>
      <c r="K18">
        <f ca="1">IFERROR(VLOOKUP(A18,Quarterly_FX!$A:$D,3,FALSE),NA())</f>
        <v>1.0823469454577029E-2</v>
      </c>
    </row>
    <row r="19" spans="1:11" x14ac:dyDescent="0.25">
      <c r="A19" t="str">
        <f>Quarterly_Firm!A19</f>
        <v>2017Q2</v>
      </c>
      <c r="B19">
        <f>Quarterly_Firm!M19</f>
        <v>1.36449823854845E-2</v>
      </c>
      <c r="C19">
        <f>Quarterly_Firm!B19</f>
        <v>54839</v>
      </c>
      <c r="D19">
        <f ca="1">CFV_Calc!G31</f>
        <v>1.6315924905681511E-2</v>
      </c>
      <c r="E19">
        <f ca="1">FX_Calc!F31</f>
        <v>4.0715096439725033E-2</v>
      </c>
      <c r="F19">
        <f>Quarterly_Firm!N19</f>
        <v>1.0255425042569954</v>
      </c>
      <c r="G19">
        <f>Quarterly_Firm!P19</f>
        <v>15.223890722263222</v>
      </c>
      <c r="H19">
        <f>Quarterly_Firm!O19</f>
        <v>0.79314199896063142</v>
      </c>
      <c r="I19">
        <f>Quarterly_Firm!J19</f>
        <v>1</v>
      </c>
      <c r="J19">
        <f ca="1">IFERROR(VLOOKUP(A19,Quarterly_FX!$A:$D,2,FALSE),NA())</f>
        <v>2.4352778439659726E-3</v>
      </c>
      <c r="K19">
        <f ca="1">IFERROR(VLOOKUP(A19,Quarterly_FX!$A:$D,3,FALSE),NA())</f>
        <v>9.6536562147146662E-3</v>
      </c>
    </row>
    <row r="20" spans="1:11" x14ac:dyDescent="0.25">
      <c r="A20" t="str">
        <f>Quarterly_Firm!A20</f>
        <v>2017Q3</v>
      </c>
      <c r="B20">
        <f>Quarterly_Firm!M20</f>
        <v>-1.0525259265890293E-2</v>
      </c>
      <c r="C20">
        <f>Quarterly_Firm!B20</f>
        <v>-42680</v>
      </c>
      <c r="D20">
        <f ca="1">CFV_Calc!G32</f>
        <v>1.8747324687676623E-2</v>
      </c>
      <c r="E20">
        <f ca="1">FX_Calc!F32</f>
        <v>4.0588070345104428E-2</v>
      </c>
      <c r="F20">
        <f>Quarterly_Firm!N20</f>
        <v>0.98786883514799129</v>
      </c>
      <c r="G20">
        <f>Quarterly_Firm!P20</f>
        <v>15.2069635902303</v>
      </c>
      <c r="H20">
        <f>Quarterly_Firm!O20</f>
        <v>0.7512394216977567</v>
      </c>
      <c r="I20">
        <f>Quarterly_Firm!J20</f>
        <v>1</v>
      </c>
      <c r="J20">
        <f ca="1">IFERROR(VLOOKUP(A20,Quarterly_FX!$A:$D,2,FALSE),NA())</f>
        <v>2.7343213940714622E-3</v>
      </c>
      <c r="K20">
        <f ca="1">IFERROR(VLOOKUP(A20,Quarterly_FX!$A:$D,3,FALSE),NA())</f>
        <v>7.9237207214523948E-3</v>
      </c>
    </row>
    <row r="21" spans="1:11" x14ac:dyDescent="0.25">
      <c r="A21" t="str">
        <f>Quarterly_Firm!A21</f>
        <v>2017Q4</v>
      </c>
      <c r="B21">
        <f>Quarterly_Firm!M21</f>
        <v>4.1922405759680786E-3</v>
      </c>
      <c r="C21">
        <f>Quarterly_Firm!B21</f>
        <v>15642</v>
      </c>
      <c r="D21">
        <f ca="1">CFV_Calc!G33</f>
        <v>1.7412519484151661E-2</v>
      </c>
      <c r="E21">
        <f ca="1">FX_Calc!F33</f>
        <v>4.0471771372648173E-2</v>
      </c>
      <c r="F21">
        <f>Quarterly_Firm!N21</f>
        <v>2.0779523497228283</v>
      </c>
      <c r="G21">
        <f>Quarterly_Firm!P21</f>
        <v>15.051467376665794</v>
      </c>
      <c r="H21">
        <f>Quarterly_Firm!O21</f>
        <v>0.67089333418478669</v>
      </c>
      <c r="I21">
        <f>Quarterly_Firm!J21</f>
        <v>1</v>
      </c>
      <c r="J21">
        <f ca="1">IFERROR(VLOOKUP(A21,Quarterly_FX!$A:$D,2,FALSE),NA())</f>
        <v>8.8598612828376857E-3</v>
      </c>
      <c r="K21">
        <f ca="1">IFERROR(VLOOKUP(A21,Quarterly_FX!$A:$D,3,FALSE),NA())</f>
        <v>5.3285457502208243E-3</v>
      </c>
    </row>
    <row r="22" spans="1:11" x14ac:dyDescent="0.25">
      <c r="A22" t="str">
        <f>Quarterly_Firm!A22</f>
        <v>2018Q1</v>
      </c>
      <c r="B22">
        <f>Quarterly_Firm!M22</f>
        <v>-7.642327314860334E-3</v>
      </c>
      <c r="C22">
        <f>Quarterly_Firm!B22</f>
        <v>-28837</v>
      </c>
      <c r="D22">
        <f ca="1">CFV_Calc!G34</f>
        <v>1.6007030997602902E-2</v>
      </c>
      <c r="E22">
        <f ca="1">FX_Calc!F34</f>
        <v>3.8257299860117999E-2</v>
      </c>
      <c r="F22">
        <f>Quarterly_Firm!N22</f>
        <v>1.0387275681863537</v>
      </c>
      <c r="G22">
        <f>Quarterly_Firm!P22</f>
        <v>15.227712403175321</v>
      </c>
      <c r="H22">
        <f>Quarterly_Firm!O22</f>
        <v>0.71712446430199694</v>
      </c>
      <c r="I22">
        <f>Quarterly_Firm!J22</f>
        <v>0</v>
      </c>
      <c r="J22">
        <f ca="1">IFERROR(VLOOKUP(A22,Quarterly_FX!$A:$D,2,FALSE),NA())</f>
        <v>1.5721415775899972E-2</v>
      </c>
      <c r="K22">
        <f ca="1">IFERROR(VLOOKUP(A22,Quarterly_FX!$A:$D,3,FALSE),NA())</f>
        <v>8.4773128924827273E-3</v>
      </c>
    </row>
    <row r="23" spans="1:11" x14ac:dyDescent="0.25">
      <c r="A23" t="str">
        <f>Quarterly_Firm!A23</f>
        <v>2018Q2</v>
      </c>
      <c r="B23">
        <f>Quarterly_Firm!M23</f>
        <v>-1.8393929459940287E-2</v>
      </c>
      <c r="C23">
        <f>Quarterly_Firm!B23</f>
        <v>-75832</v>
      </c>
      <c r="D23">
        <f ca="1">CFV_Calc!G35</f>
        <v>1.9517792915078463E-2</v>
      </c>
      <c r="E23">
        <f ca="1">FX_Calc!F35</f>
        <v>3.9973507378464217E-2</v>
      </c>
      <c r="F23">
        <f>Quarterly_Firm!N23</f>
        <v>1.1510982237702794</v>
      </c>
      <c r="G23">
        <f>Quarterly_Firm!P23</f>
        <v>15.236289675662801</v>
      </c>
      <c r="H23">
        <f>Quarterly_Firm!O23</f>
        <v>0.70105750865312011</v>
      </c>
      <c r="I23">
        <f>Quarterly_Firm!J23</f>
        <v>0</v>
      </c>
      <c r="J23">
        <f ca="1">IFERROR(VLOOKUP(A23,Quarterly_FX!$A:$D,2,FALSE),NA())</f>
        <v>1.1436433643257532E-2</v>
      </c>
      <c r="K23">
        <f ca="1">IFERROR(VLOOKUP(A23,Quarterly_FX!$A:$D,3,FALSE),NA())</f>
        <v>9.5152179225774357E-3</v>
      </c>
    </row>
    <row r="24" spans="1:11" x14ac:dyDescent="0.25">
      <c r="A24" t="str">
        <f>Quarterly_Firm!A24</f>
        <v>2018Q3</v>
      </c>
      <c r="B24">
        <f>Quarterly_Firm!M24</f>
        <v>-1.7095829798559475E-2</v>
      </c>
      <c r="C24">
        <f>Quarterly_Firm!B24</f>
        <v>-69887</v>
      </c>
      <c r="D24">
        <f ca="1">CFV_Calc!G36</f>
        <v>1.9556669995417355E-2</v>
      </c>
      <c r="E24">
        <f ca="1">FX_Calc!F36</f>
        <v>3.0675498569033673E-2</v>
      </c>
      <c r="F24">
        <f>Quarterly_Firm!N24</f>
        <v>1.2110980883096887</v>
      </c>
      <c r="G24">
        <f>Quarterly_Firm!P24</f>
        <v>15.210657370260209</v>
      </c>
      <c r="H24">
        <f>Quarterly_Firm!O24</f>
        <v>0.65671434423529207</v>
      </c>
      <c r="I24">
        <f>Quarterly_Firm!J24</f>
        <v>0</v>
      </c>
      <c r="J24">
        <f ca="1">IFERROR(VLOOKUP(A24,Quarterly_FX!$A:$D,2,FALSE),NA())</f>
        <v>1.005131291645101E-2</v>
      </c>
      <c r="K24">
        <f ca="1">IFERROR(VLOOKUP(A24,Quarterly_FX!$A:$D,3,FALSE),NA())</f>
        <v>1.1948408898133717E-2</v>
      </c>
    </row>
    <row r="25" spans="1:11" x14ac:dyDescent="0.25">
      <c r="A25" t="str">
        <f>Quarterly_Firm!A25</f>
        <v>2018Q4</v>
      </c>
      <c r="B25">
        <f>Quarterly_Firm!M25</f>
        <v>2.9249406903507962E-2</v>
      </c>
      <c r="C25">
        <f>Quarterly_Firm!B25</f>
        <v>111412</v>
      </c>
      <c r="D25">
        <f ca="1">CFV_Calc!G37</f>
        <v>1.913534157822671E-2</v>
      </c>
      <c r="E25">
        <f ca="1">FX_Calc!F37</f>
        <v>2.6002214304466312E-2</v>
      </c>
      <c r="F25">
        <f>Quarterly_Firm!N25</f>
        <v>2.6083628889890798</v>
      </c>
      <c r="G25">
        <f>Quarterly_Firm!P25</f>
        <v>15.091571996953673</v>
      </c>
      <c r="H25">
        <f>Quarterly_Firm!O25</f>
        <v>0.53881655371615411</v>
      </c>
      <c r="I25">
        <f>Quarterly_Firm!J25</f>
        <v>0</v>
      </c>
      <c r="J25">
        <f ca="1">IFERROR(VLOOKUP(A25,Quarterly_FX!$A:$D,2,FALSE),NA())</f>
        <v>2.7639911050687561E-2</v>
      </c>
      <c r="K25">
        <f ca="1">IFERROR(VLOOKUP(A25,Quarterly_FX!$A:$D,3,FALSE),NA())</f>
        <v>1.8265360956439481E-2</v>
      </c>
    </row>
    <row r="26" spans="1:11" x14ac:dyDescent="0.25">
      <c r="A26" t="str">
        <f>Quarterly_Firm!A26</f>
        <v>2019Q1</v>
      </c>
      <c r="B26">
        <f>Quarterly_Firm!M26</f>
        <v>-1.0210756480211058E-2</v>
      </c>
      <c r="C26">
        <f>Quarterly_Firm!B26</f>
        <v>-39539</v>
      </c>
      <c r="D26">
        <f ca="1">CFV_Calc!G38</f>
        <v>1.9094177968704384E-2</v>
      </c>
      <c r="E26">
        <f ca="1">FX_Calc!F38</f>
        <v>2.3398715174326089E-2</v>
      </c>
      <c r="F26">
        <f>Quarterly_Firm!N26</f>
        <v>1.1942125572366038</v>
      </c>
      <c r="G26">
        <f>Quarterly_Firm!P26</f>
        <v>15.241524546220703</v>
      </c>
      <c r="H26">
        <f>Quarterly_Firm!O26</f>
        <v>0.53838835764640192</v>
      </c>
      <c r="I26">
        <f>Quarterly_Firm!J26</f>
        <v>0</v>
      </c>
      <c r="J26">
        <f ca="1">IFERROR(VLOOKUP(A26,Quarterly_FX!$A:$D,2,FALSE),NA())</f>
        <v>1.7302249133317075E-2</v>
      </c>
      <c r="K26">
        <f ca="1">IFERROR(VLOOKUP(A26,Quarterly_FX!$A:$D,3,FALSE),NA())</f>
        <v>1.9348300709950614E-2</v>
      </c>
    </row>
    <row r="27" spans="1:11" x14ac:dyDescent="0.25">
      <c r="A27" t="str">
        <f>Quarterly_Firm!A27</f>
        <v>2019Q2</v>
      </c>
      <c r="B27">
        <f>Quarterly_Firm!M27</f>
        <v>-1.4682010528993272E-2</v>
      </c>
      <c r="C27">
        <f>Quarterly_Firm!B27</f>
        <v>-61906</v>
      </c>
      <c r="D27">
        <f ca="1">CFV_Calc!G39</f>
        <v>1.9757657106844795E-2</v>
      </c>
      <c r="E27">
        <f ca="1">FX_Calc!F39</f>
        <v>2.3398716260587791E-2</v>
      </c>
      <c r="F27">
        <f>Quarterly_Firm!N27</f>
        <v>1.2792478309267838</v>
      </c>
      <c r="G27">
        <f>Quarterly_Firm!P27</f>
        <v>15.267318511560131</v>
      </c>
      <c r="H27">
        <f>Quarterly_Firm!O27</f>
        <v>0.51024284683818222</v>
      </c>
      <c r="I27">
        <f>Quarterly_Firm!J27</f>
        <v>0</v>
      </c>
      <c r="J27">
        <f ca="1">IFERROR(VLOOKUP(A27,Quarterly_FX!$A:$D,2,FALSE),NA())</f>
        <v>1.4228262667648218E-2</v>
      </c>
      <c r="K27">
        <f ca="1">IFERROR(VLOOKUP(A27,Quarterly_FX!$A:$D,3,FALSE),NA())</f>
        <v>1.9595870021345479E-2</v>
      </c>
    </row>
    <row r="28" spans="1:11" x14ac:dyDescent="0.25">
      <c r="A28" t="str">
        <f>Quarterly_Firm!A28</f>
        <v>2019Q3</v>
      </c>
      <c r="B28">
        <f>Quarterly_Firm!M28</f>
        <v>-1.9661133024375561E-2</v>
      </c>
      <c r="C28">
        <f>Quarterly_Firm!B28</f>
        <v>-84232</v>
      </c>
      <c r="D28">
        <f ca="1">CFV_Calc!G40</f>
        <v>1.9006518942135908E-2</v>
      </c>
      <c r="E28">
        <f ca="1">FX_Calc!F40</f>
        <v>2.2607668520472468E-2</v>
      </c>
      <c r="F28">
        <f>Quarterly_Firm!N28</f>
        <v>1.3683766533398161</v>
      </c>
      <c r="G28">
        <f>Quarterly_Firm!P28</f>
        <v>15.273555185461234</v>
      </c>
      <c r="H28">
        <f>Quarterly_Firm!O28</f>
        <v>1.0768694646851504</v>
      </c>
      <c r="I28">
        <f>Quarterly_Firm!J28</f>
        <v>0</v>
      </c>
      <c r="J28">
        <f ca="1">IFERROR(VLOOKUP(A28,Quarterly_FX!$A:$D,2,FALSE),NA())</f>
        <v>1.5538739688710463E-2</v>
      </c>
      <c r="K28">
        <f ca="1">IFERROR(VLOOKUP(A28,Quarterly_FX!$A:$D,3,FALSE),NA())</f>
        <v>1.6990822593748053E-2</v>
      </c>
    </row>
    <row r="29" spans="1:11" x14ac:dyDescent="0.25">
      <c r="A29" t="str">
        <f>Quarterly_Firm!A29</f>
        <v>2019Q4</v>
      </c>
      <c r="B29">
        <f>Quarterly_Firm!M29</f>
        <v>-7.4110038975240544E-2</v>
      </c>
      <c r="C29">
        <f>Quarterly_Firm!B29</f>
        <v>-281084</v>
      </c>
      <c r="D29">
        <f ca="1">CFV_Calc!G41</f>
        <v>1.9084257043597761E-2</v>
      </c>
      <c r="E29">
        <f ca="1">FX_Calc!F41</f>
        <v>2.2219387552525213E-2</v>
      </c>
      <c r="F29">
        <f>Quarterly_Firm!N29</f>
        <v>6.2215355373804861</v>
      </c>
      <c r="G29">
        <f>Quarterly_Firm!P29</f>
        <v>15.005801288136254</v>
      </c>
      <c r="H29">
        <f>Quarterly_Firm!O29</f>
        <v>0.27690333755673524</v>
      </c>
      <c r="I29">
        <f>Quarterly_Firm!J29</f>
        <v>0</v>
      </c>
      <c r="J29">
        <f ca="1">IFERROR(VLOOKUP(A29,Quarterly_FX!$A:$D,2,FALSE),NA())</f>
        <v>2.5233543376391599E-3</v>
      </c>
      <c r="K29">
        <f ca="1">IFERROR(VLOOKUP(A29,Quarterly_FX!$A:$D,3,FALSE),NA())</f>
        <v>1.2053076589924808E-2</v>
      </c>
    </row>
    <row r="30" spans="1:11" x14ac:dyDescent="0.25">
      <c r="A30" t="str">
        <f>Quarterly_Firm!A30</f>
        <v>2020Q1</v>
      </c>
      <c r="B30">
        <f>Quarterly_Firm!M30</f>
        <v>-5.0408836793381415E-2</v>
      </c>
      <c r="C30">
        <f>Quarterly_Firm!B30</f>
        <v>-156712</v>
      </c>
      <c r="D30">
        <f ca="1">CFV_Calc!G42</f>
        <v>1.8864433192548821E-2</v>
      </c>
      <c r="E30">
        <f ca="1">FX_Calc!F42</f>
        <v>5.0979919235889168E-2</v>
      </c>
      <c r="F30">
        <f>Quarterly_Firm!N30</f>
        <v>10.114830351139522</v>
      </c>
      <c r="G30">
        <f>Quarterly_Firm!P30</f>
        <v>14.890377476932443</v>
      </c>
      <c r="H30">
        <f>Quarterly_Firm!O30</f>
        <v>0.7361105600904555</v>
      </c>
      <c r="I30">
        <f>Quarterly_Firm!J30</f>
        <v>0</v>
      </c>
      <c r="J30">
        <f ca="1">IFERROR(VLOOKUP(A30,Quarterly_FX!$A:$D,2,FALSE),NA())</f>
        <v>6.5092058665502869E-2</v>
      </c>
      <c r="K30">
        <f ca="1">IFERROR(VLOOKUP(A30,Quarterly_FX!$A:$D,3,FALSE),NA())</f>
        <v>3.2240343918281011E-2</v>
      </c>
    </row>
    <row r="31" spans="1:11" x14ac:dyDescent="0.25">
      <c r="A31" t="str">
        <f>Quarterly_Firm!A31</f>
        <v>2020Q2</v>
      </c>
      <c r="B31">
        <f>Quarterly_Firm!M31</f>
        <v>8.6999501100138155E-2</v>
      </c>
      <c r="C31">
        <f>Quarterly_Firm!B31</f>
        <v>272037</v>
      </c>
      <c r="D31">
        <f ca="1">CFV_Calc!G43</f>
        <v>1.905058384149691E-2</v>
      </c>
      <c r="E31">
        <f ca="1">FX_Calc!F43</f>
        <v>6.7345095162371332E-2</v>
      </c>
      <c r="F31">
        <f>Quarterly_Firm!N31</f>
        <v>4.5553504634727462</v>
      </c>
      <c r="G31">
        <f>Quarterly_Firm!P31</f>
        <v>15.016726666092369</v>
      </c>
      <c r="H31">
        <f>Quarterly_Firm!O31</f>
        <v>0.76946332874174939</v>
      </c>
      <c r="I31">
        <f>Quarterly_Firm!J31</f>
        <v>0</v>
      </c>
      <c r="J31">
        <f ca="1">IFERROR(VLOOKUP(A31,Quarterly_FX!$A:$D,2,FALSE),NA())</f>
        <v>5.6653235167898004E-2</v>
      </c>
      <c r="K31">
        <f ca="1">IFERROR(VLOOKUP(A31,Quarterly_FX!$A:$D,3,FALSE),NA())</f>
        <v>4.2131454627731255E-2</v>
      </c>
    </row>
    <row r="32" spans="1:11" x14ac:dyDescent="0.25">
      <c r="A32" t="str">
        <f>Quarterly_Firm!A32</f>
        <v>2020Q3</v>
      </c>
      <c r="B32">
        <f>Quarterly_Firm!M32</f>
        <v>-1.5262232331441828E-2</v>
      </c>
      <c r="C32">
        <f>Quarterly_Firm!B32</f>
        <v>-49942</v>
      </c>
      <c r="D32">
        <f ca="1">CFV_Calc!G44</f>
        <v>1.6883409291815105E-2</v>
      </c>
      <c r="E32">
        <f ca="1">FX_Calc!F44</f>
        <v>6.8145568537442372E-2</v>
      </c>
      <c r="F32">
        <f>Quarterly_Firm!N32</f>
        <v>5.0473885541657886</v>
      </c>
      <c r="G32">
        <f>Quarterly_Firm!P32</f>
        <v>14.98500495460992</v>
      </c>
      <c r="H32">
        <f>Quarterly_Firm!O32</f>
        <v>0.52039315476812353</v>
      </c>
      <c r="I32">
        <f>Quarterly_Firm!J32</f>
        <v>0</v>
      </c>
      <c r="J32">
        <f ca="1">IFERROR(VLOOKUP(A32,Quarterly_FX!$A:$D,2,FALSE),NA())</f>
        <v>9.9992228000916304E-3</v>
      </c>
      <c r="K32">
        <f ca="1">IFERROR(VLOOKUP(A32,Quarterly_FX!$A:$D,3,FALSE),NA())</f>
        <v>4.2237326916597782E-2</v>
      </c>
    </row>
    <row r="33" spans="1:11" x14ac:dyDescent="0.25">
      <c r="A33" t="str">
        <f>Quarterly_Firm!A33</f>
        <v>2020Q4</v>
      </c>
      <c r="B33">
        <f>Quarterly_Firm!M33</f>
        <v>-3.4138929159485431E-3</v>
      </c>
      <c r="C33">
        <f>Quarterly_Firm!B33</f>
        <v>-11448</v>
      </c>
      <c r="D33">
        <f ca="1">CFV_Calc!G45</f>
        <v>1.6188834507685445E-2</v>
      </c>
      <c r="E33">
        <f ca="1">FX_Calc!F45</f>
        <v>7.0653555695743664E-2</v>
      </c>
      <c r="F33">
        <f>Quarterly_Firm!N33</f>
        <v>4.5330838073012671</v>
      </c>
      <c r="G33">
        <f>Quarterly_Firm!P33</f>
        <v>15.06436561479565</v>
      </c>
      <c r="H33">
        <f>Quarterly_Firm!O33</f>
        <v>1.0094816168295677</v>
      </c>
      <c r="I33">
        <f>Quarterly_Firm!J33</f>
        <v>0</v>
      </c>
      <c r="J33">
        <f ca="1">IFERROR(VLOOKUP(A33,Quarterly_FX!$A:$D,2,FALSE),NA())</f>
        <v>1.6706405472867621E-2</v>
      </c>
      <c r="K33">
        <f ca="1">IFERROR(VLOOKUP(A33,Quarterly_FX!$A:$D,3,FALSE),NA())</f>
        <v>4.3790615681962797E-2</v>
      </c>
    </row>
    <row r="34" spans="1:11" x14ac:dyDescent="0.25">
      <c r="A34" t="str">
        <f>Quarterly_Firm!A34</f>
        <v>2021Q1</v>
      </c>
      <c r="B34">
        <f>Quarterly_Firm!M34</f>
        <v>4.7826927548500434E-3</v>
      </c>
      <c r="C34">
        <f>Quarterly_Firm!B34</f>
        <v>16599</v>
      </c>
      <c r="D34">
        <f ca="1">CFV_Calc!G46</f>
        <v>1.5424426006228068E-2</v>
      </c>
      <c r="E34">
        <f ca="1">FX_Calc!F46</f>
        <v>7.1094394989573442E-2</v>
      </c>
      <c r="F34">
        <f>Quarterly_Firm!N34</f>
        <v>5.0645232001134701</v>
      </c>
      <c r="G34">
        <f>Quarterly_Firm!P34</f>
        <v>15.055312465045114</v>
      </c>
      <c r="H34">
        <f>Quarterly_Firm!O34</f>
        <v>1.0530355411517944</v>
      </c>
      <c r="I34">
        <f>Quarterly_Firm!J34</f>
        <v>0</v>
      </c>
      <c r="J34">
        <f ca="1">IFERROR(VLOOKUP(A34,Quarterly_FX!$A:$D,2,FALSE),NA())</f>
        <v>1.7306875182172037E-2</v>
      </c>
      <c r="K34">
        <f ca="1">IFERROR(VLOOKUP(A34,Quarterly_FX!$A:$D,3,FALSE),NA())</f>
        <v>3.109880032990903E-2</v>
      </c>
    </row>
    <row r="35" spans="1:11" x14ac:dyDescent="0.25">
      <c r="A35" t="str">
        <f>Quarterly_Firm!A35</f>
        <v>2021Q2</v>
      </c>
      <c r="B35">
        <f>Quarterly_Firm!M35</f>
        <v>6.4950419278076987E-3</v>
      </c>
      <c r="C35">
        <f>Quarterly_Firm!B35</f>
        <v>22881</v>
      </c>
      <c r="D35">
        <f ca="1">CFV_Calc!G47</f>
        <v>1.0078005266830798E-2</v>
      </c>
      <c r="E35">
        <f ca="1">FX_Calc!F47</f>
        <v>6.9904552755043287E-2</v>
      </c>
      <c r="F35">
        <f>Quarterly_Firm!N35</f>
        <v>5.9192239513930485</v>
      </c>
      <c r="G35">
        <f>Quarterly_Firm!P35</f>
        <v>15.093872487773773</v>
      </c>
      <c r="H35">
        <f>Quarterly_Firm!O35</f>
        <v>0.99859154484126944</v>
      </c>
      <c r="I35">
        <f>Quarterly_Firm!J35</f>
        <v>0</v>
      </c>
      <c r="J35">
        <f ca="1">IFERROR(VLOOKUP(A35,Quarterly_FX!$A:$D,2,FALSE),NA())</f>
        <v>1.3533995424048335E-2</v>
      </c>
      <c r="K35">
        <f ca="1">IFERROR(VLOOKUP(A35,Quarterly_FX!$A:$D,3,FALSE),NA())</f>
        <v>1.7037994397119761E-2</v>
      </c>
    </row>
    <row r="36" spans="1:11" x14ac:dyDescent="0.25">
      <c r="A36" t="str">
        <f>Quarterly_Firm!A36</f>
        <v>2021Q3</v>
      </c>
      <c r="B36">
        <f>Quarterly_Firm!M36</f>
        <v>4.3983171419010886E-3</v>
      </c>
      <c r="C36">
        <f>Quarterly_Firm!B36</f>
        <v>16128</v>
      </c>
      <c r="D36">
        <f ca="1">CFV_Calc!G48</f>
        <v>1.1133696851609812E-2</v>
      </c>
      <c r="E36">
        <f ca="1">FX_Calc!F48</f>
        <v>6.9130656630234003E-2</v>
      </c>
      <c r="F36">
        <f>Quarterly_Firm!N36</f>
        <v>6.1261415145439164</v>
      </c>
      <c r="G36">
        <f>Quarterly_Firm!P36</f>
        <v>15.135387567382644</v>
      </c>
      <c r="H36">
        <f>Quarterly_Firm!O36</f>
        <v>0.67114283943351649</v>
      </c>
      <c r="I36">
        <f>Quarterly_Firm!J36</f>
        <v>0</v>
      </c>
      <c r="J36">
        <f ca="1">IFERROR(VLOOKUP(A36,Quarterly_FX!$A:$D,2,FALSE),NA())</f>
        <v>1.1885437902769653E-2</v>
      </c>
      <c r="K36">
        <f ca="1">IFERROR(VLOOKUP(A36,Quarterly_FX!$A:$D,3,FALSE),NA())</f>
        <v>1.5119055796942575E-2</v>
      </c>
    </row>
    <row r="37" spans="1:11" x14ac:dyDescent="0.25">
      <c r="A37" t="str">
        <f>Quarterly_Firm!A37</f>
        <v>2021Q4</v>
      </c>
      <c r="B37">
        <f>Quarterly_Firm!M37</f>
        <v>-2.0940215684221548E-4</v>
      </c>
      <c r="C37">
        <f>Quarterly_Firm!B37</f>
        <v>-787</v>
      </c>
      <c r="D37">
        <f ca="1">CFV_Calc!G49</f>
        <v>1.5465057501313353E-2</v>
      </c>
      <c r="E37">
        <f ca="1">FX_Calc!F49</f>
        <v>6.8608052407830453E-2</v>
      </c>
      <c r="F37">
        <f>Quarterly_Firm!N37</f>
        <v>3.8857839146857769</v>
      </c>
      <c r="G37">
        <f>Quarterly_Firm!P37</f>
        <v>15.143560150668824</v>
      </c>
      <c r="H37">
        <f>Quarterly_Firm!O37</f>
        <v>0.65449000826619153</v>
      </c>
      <c r="I37">
        <f>Quarterly_Firm!J37</f>
        <v>0</v>
      </c>
      <c r="J37">
        <f ca="1">IFERROR(VLOOKUP(A37,Quarterly_FX!$A:$D,2,FALSE),NA())</f>
        <v>5.6616314163928285E-3</v>
      </c>
      <c r="K37">
        <f ca="1">IFERROR(VLOOKUP(A37,Quarterly_FX!$A:$D,3,FALSE),NA())</f>
        <v>1.1401008040659062E-2</v>
      </c>
    </row>
    <row r="38" spans="1:11" x14ac:dyDescent="0.25">
      <c r="A38" t="str">
        <f>Quarterly_Firm!A38</f>
        <v>2022Q1</v>
      </c>
      <c r="B38">
        <f>Quarterly_Firm!M38</f>
        <v>9.0003995322143655E-3</v>
      </c>
      <c r="C38">
        <f>Quarterly_Firm!B38</f>
        <v>34602</v>
      </c>
      <c r="D38">
        <f ca="1">CFV_Calc!G50</f>
        <v>1.5663762401313622E-2</v>
      </c>
      <c r="E38">
        <f ca="1">FX_Calc!F50</f>
        <v>6.8455200267911326E-2</v>
      </c>
      <c r="F38">
        <f>Quarterly_Firm!N38</f>
        <v>4.1131411713341679</v>
      </c>
      <c r="G38">
        <f>Quarterly_Firm!P38</f>
        <v>15.1804065993477</v>
      </c>
      <c r="H38">
        <f>Quarterly_Firm!O38</f>
        <v>0.6974214034956796</v>
      </c>
      <c r="I38">
        <f>Quarterly_Firm!J38</f>
        <v>0</v>
      </c>
      <c r="J38">
        <f ca="1">IFERROR(VLOOKUP(A38,Quarterly_FX!$A:$D,2,FALSE),NA())</f>
        <v>8.5534841805775673E-4</v>
      </c>
      <c r="K38">
        <f ca="1">IFERROR(VLOOKUP(A38,Quarterly_FX!$A:$D,3,FALSE),NA())</f>
        <v>8.2275394039584421E-3</v>
      </c>
    </row>
    <row r="39" spans="1:11" x14ac:dyDescent="0.25">
      <c r="A39" t="str">
        <f>Quarterly_Firm!A39</f>
        <v>2022Q2</v>
      </c>
      <c r="B39">
        <f>Quarterly_Firm!M39</f>
        <v>7.9041441301138209E-3</v>
      </c>
      <c r="C39">
        <f>Quarterly_Firm!B39</f>
        <v>30858</v>
      </c>
      <c r="D39">
        <f ca="1">CFV_Calc!G51</f>
        <v>1.5204461386939507E-2</v>
      </c>
      <c r="E39">
        <f ca="1">FX_Calc!F51</f>
        <v>6.9132472013673674E-2</v>
      </c>
      <c r="F39">
        <f>Quarterly_Firm!N39</f>
        <v>3.898591678767255</v>
      </c>
      <c r="G39">
        <f>Quarterly_Firm!P39</f>
        <v>15.174623837822329</v>
      </c>
      <c r="H39">
        <f>Quarterly_Firm!O39</f>
        <v>0.69762500120992332</v>
      </c>
      <c r="I39">
        <f>Quarterly_Firm!J39</f>
        <v>0</v>
      </c>
      <c r="J39">
        <f ca="1">IFERROR(VLOOKUP(A39,Quarterly_FX!$A:$D,2,FALSE),NA())</f>
        <v>6.0644969053109815E-3</v>
      </c>
      <c r="K39">
        <f ca="1">IFERROR(VLOOKUP(A39,Quarterly_FX!$A:$D,3,FALSE),NA())</f>
        <v>7.2912372533758376E-3</v>
      </c>
    </row>
    <row r="40" spans="1:11" x14ac:dyDescent="0.25">
      <c r="A40" t="str">
        <f>Quarterly_Firm!A40</f>
        <v>2022Q3</v>
      </c>
      <c r="B40">
        <f>Quarterly_Firm!M40</f>
        <v>-7.6472173296345284E-3</v>
      </c>
      <c r="C40">
        <f>Quarterly_Firm!B40</f>
        <v>-29146</v>
      </c>
      <c r="D40">
        <f ca="1">CFV_Calc!G52</f>
        <v>1.5333809334060505E-2</v>
      </c>
      <c r="E40">
        <f ca="1">FX_Calc!F52</f>
        <v>6.9342851041210324E-2</v>
      </c>
      <c r="F40">
        <f>Quarterly_Firm!N40</f>
        <v>3.9102167626432931</v>
      </c>
      <c r="G40">
        <f>Quarterly_Firm!P40</f>
        <v>15.1318925178164</v>
      </c>
      <c r="H40">
        <f>Quarterly_Firm!O40</f>
        <v>0.66077439187007847</v>
      </c>
      <c r="I40">
        <f>Quarterly_Firm!J40</f>
        <v>0</v>
      </c>
      <c r="J40">
        <f ca="1">IFERROR(VLOOKUP(A40,Quarterly_FX!$A:$D,2,FALSE),NA())</f>
        <v>1.4510642537920828E-2</v>
      </c>
      <c r="K40">
        <f ca="1">IFERROR(VLOOKUP(A40,Quarterly_FX!$A:$D,3,FALSE),NA())</f>
        <v>7.8339905381763237E-3</v>
      </c>
    </row>
    <row r="41" spans="1:11" x14ac:dyDescent="0.25">
      <c r="A41" t="str">
        <f>Quarterly_Firm!A41</f>
        <v>2022Q4</v>
      </c>
      <c r="B41">
        <f>Quarterly_Firm!M41</f>
        <v>-2.0502772935039732E-2</v>
      </c>
      <c r="C41">
        <f>Quarterly_Firm!B41</f>
        <v>-70656</v>
      </c>
      <c r="D41">
        <f ca="1">CFV_Calc!G53</f>
        <v>1.9239645071589241E-2</v>
      </c>
      <c r="E41">
        <f ca="1">FX_Calc!F53</f>
        <v>6.9015039317350216E-2</v>
      </c>
      <c r="F41">
        <f>Quarterly_Firm!N41</f>
        <v>3.7447148498152325</v>
      </c>
      <c r="G41">
        <f>Quarterly_Firm!P41</f>
        <v>14.966852542234923</v>
      </c>
      <c r="H41">
        <f>Quarterly_Firm!O41</f>
        <v>0.44695225728159388</v>
      </c>
      <c r="I41">
        <f>Quarterly_Firm!J41</f>
        <v>0</v>
      </c>
      <c r="J41">
        <f ca="1">IFERROR(VLOOKUP(A41,Quarterly_FX!$A:$D,2,FALSE),NA())</f>
        <v>1.7007483467781647E-2</v>
      </c>
      <c r="K41">
        <f ca="1">IFERROR(VLOOKUP(A41,Quarterly_FX!$A:$D,3,FALSE),NA())</f>
        <v>1.1026233514840255E-2</v>
      </c>
    </row>
    <row r="42" spans="1:11" x14ac:dyDescent="0.25">
      <c r="A42" t="str">
        <f>Quarterly_Firm!A42</f>
        <v>2023Q1</v>
      </c>
      <c r="B42">
        <f>Quarterly_Firm!M42</f>
        <v>2.6037560329724577E-3</v>
      </c>
      <c r="C42">
        <f>Quarterly_Firm!B42</f>
        <v>8215</v>
      </c>
      <c r="D42">
        <f ca="1">CFV_Calc!G54</f>
        <v>1.9927908040084558E-2</v>
      </c>
      <c r="E42">
        <f ca="1">FX_Calc!F54</f>
        <v>5.0259429240950268E-2</v>
      </c>
      <c r="F42">
        <f>Quarterly_Firm!N42</f>
        <v>3.0741879793739635</v>
      </c>
      <c r="G42">
        <f>Quarterly_Firm!P42</f>
        <v>14.962176549204344</v>
      </c>
      <c r="H42">
        <f>Quarterly_Firm!O42</f>
        <v>0.40486821320847999</v>
      </c>
      <c r="I42">
        <f>Quarterly_Firm!J42</f>
        <v>0</v>
      </c>
      <c r="J42">
        <f ca="1">IFERROR(VLOOKUP(A42,Quarterly_FX!$A:$D,2,FALSE),NA())</f>
        <v>1.6561981618009036E-2</v>
      </c>
      <c r="K42">
        <f ca="1">IFERROR(VLOOKUP(A42,Quarterly_FX!$A:$D,3,FALSE),NA())</f>
        <v>1.4311358601688301E-2</v>
      </c>
    </row>
    <row r="43" spans="1:11" x14ac:dyDescent="0.25">
      <c r="A43" t="str">
        <f>Quarterly_Firm!A43</f>
        <v>2023Q2</v>
      </c>
      <c r="B43">
        <f>Quarterly_Firm!M43</f>
        <v>-5.2302591270193743E-3</v>
      </c>
      <c r="C43">
        <f>Quarterly_Firm!B43</f>
        <v>-16134</v>
      </c>
      <c r="D43">
        <f ca="1">CFV_Calc!G55</f>
        <v>1.9543597381219295E-2</v>
      </c>
      <c r="E43">
        <f ca="1">FX_Calc!F55</f>
        <v>3.0242443137658889E-2</v>
      </c>
      <c r="F43">
        <f>Quarterly_Firm!N43</f>
        <v>3.0870450326984358</v>
      </c>
      <c r="G43">
        <f>Quarterly_Firm!P43</f>
        <v>14.921364231073142</v>
      </c>
      <c r="H43">
        <f>Quarterly_Firm!O43</f>
        <v>0.36122536153921708</v>
      </c>
      <c r="I43">
        <f>Quarterly_Firm!J43</f>
        <v>0</v>
      </c>
      <c r="J43">
        <f ca="1">IFERROR(VLOOKUP(A43,Quarterly_FX!$A:$D,2,FALSE),NA())</f>
        <v>2.0590269238620732E-2</v>
      </c>
      <c r="K43">
        <f ca="1">IFERROR(VLOOKUP(A43,Quarterly_FX!$A:$D,3,FALSE),NA())</f>
        <v>1.7456981192454243E-2</v>
      </c>
    </row>
    <row r="44" spans="1:11" x14ac:dyDescent="0.25">
      <c r="A44" t="str">
        <f>Quarterly_Firm!A44</f>
        <v>2023Q3</v>
      </c>
      <c r="B44">
        <f>Quarterly_Firm!M44</f>
        <v>-1.3005510276277518E-2</v>
      </c>
      <c r="C44">
        <f>Quarterly_Firm!B44</f>
        <v>-38657</v>
      </c>
      <c r="D44">
        <f ca="1">CFV_Calc!G56</f>
        <v>2.0114852393623782E-2</v>
      </c>
      <c r="E44">
        <f ca="1">FX_Calc!F56</f>
        <v>2.9270173721363025E-2</v>
      </c>
      <c r="F44">
        <f>Quarterly_Firm!N44</f>
        <v>3.3486149793269782</v>
      </c>
      <c r="G44">
        <f>Quarterly_Firm!P44</f>
        <v>14.888089569085563</v>
      </c>
      <c r="H44">
        <f>Quarterly_Firm!O44</f>
        <v>0.34749868016543523</v>
      </c>
      <c r="I44">
        <f>Quarterly_Firm!J44</f>
        <v>0</v>
      </c>
      <c r="J44">
        <f ca="1">IFERROR(VLOOKUP(A44,Quarterly_FX!$A:$D,2,FALSE),NA())</f>
        <v>4.6296779129125542E-3</v>
      </c>
      <c r="K44">
        <f ca="1">IFERROR(VLOOKUP(A44,Quarterly_FX!$A:$D,3,FALSE),NA())</f>
        <v>1.6709321745815263E-2</v>
      </c>
    </row>
    <row r="45" spans="1:11" x14ac:dyDescent="0.25">
      <c r="A45" t="str">
        <f>Quarterly_Firm!A45</f>
        <v>2023Q4</v>
      </c>
      <c r="B45">
        <f>Quarterly_Firm!M45</f>
        <v>-7.4163687824373012E-3</v>
      </c>
      <c r="C45">
        <f>Quarterly_Firm!B45</f>
        <v>-21404</v>
      </c>
      <c r="D45">
        <f ca="1">CFV_Calc!G57</f>
        <v>2.1772700620875076E-2</v>
      </c>
      <c r="E45">
        <f ca="1">FX_Calc!F57</f>
        <v>2.2980358846652331E-2</v>
      </c>
      <c r="F45">
        <f>Quarterly_Firm!N45</f>
        <v>3.6669068701552532</v>
      </c>
      <c r="G45">
        <f>Quarterly_Firm!P45</f>
        <v>14.862544950346045</v>
      </c>
      <c r="H45">
        <f>Quarterly_Firm!O45</f>
        <v>0.31053691560772356</v>
      </c>
      <c r="I45">
        <f>Quarterly_Firm!J45</f>
        <v>0</v>
      </c>
      <c r="J45">
        <f ca="1">IFERROR(VLOOKUP(A45,Quarterly_FX!$A:$D,2,FALSE),NA())</f>
        <v>1.8602297614837091E-2</v>
      </c>
      <c r="K45">
        <f ca="1">IFERROR(VLOOKUP(A45,Quarterly_FX!$A:$D,3,FALSE),NA())</f>
        <v>1.5709732239699466E-2</v>
      </c>
    </row>
    <row r="46" spans="1:11" x14ac:dyDescent="0.25">
      <c r="A46" t="str">
        <f>Quarterly_Firm!A46</f>
        <v>2024Q1</v>
      </c>
      <c r="B46">
        <f>Quarterly_Firm!M46</f>
        <v>-1.3135961955112831E-2</v>
      </c>
      <c r="C46">
        <f>Quarterly_Firm!B46</f>
        <v>-37066</v>
      </c>
      <c r="D46">
        <f ca="1">CFV_Calc!G58</f>
        <v>2.256318174042574E-2</v>
      </c>
      <c r="E46">
        <f ca="1">FX_Calc!F58</f>
        <v>2.2555201890392486E-2</v>
      </c>
      <c r="F46">
        <f>Quarterly_Firm!N46</f>
        <v>3.9509195514807445</v>
      </c>
      <c r="G46">
        <f>Quarterly_Firm!P46</f>
        <v>14.843074292247858</v>
      </c>
      <c r="H46">
        <f>Quarterly_Firm!O46</f>
        <v>0.29942655006312363</v>
      </c>
      <c r="I46">
        <f>Quarterly_Firm!J46</f>
        <v>0</v>
      </c>
      <c r="J46">
        <f ca="1">IFERROR(VLOOKUP(A46,Quarterly_FX!$A:$D,2,FALSE),NA())</f>
        <v>2.2418990317132183E-3</v>
      </c>
      <c r="K46">
        <f ca="1">IFERROR(VLOOKUP(A46,Quarterly_FX!$A:$D,3,FALSE),NA())</f>
        <v>1.367404273516448E-2</v>
      </c>
    </row>
    <row r="47" spans="1:11" x14ac:dyDescent="0.25">
      <c r="A47" t="str">
        <f>Quarterly_Firm!A47</f>
        <v>2024Q2</v>
      </c>
      <c r="B47">
        <f>Quarterly_Firm!M47</f>
        <v>-1.708464422086E-2</v>
      </c>
      <c r="C47">
        <f>Quarterly_Firm!B47</f>
        <v>-47065</v>
      </c>
      <c r="D47">
        <f ca="1">CFV_Calc!G59</f>
        <v>2.1346719736937497E-2</v>
      </c>
      <c r="E47">
        <f ca="1">FX_Calc!F59</f>
        <v>2.3725837337414898E-2</v>
      </c>
      <c r="F47">
        <f>Quarterly_Firm!N47</f>
        <v>4.4294302953934137</v>
      </c>
      <c r="G47">
        <f>Quarterly_Firm!P47</f>
        <v>14.814440991632422</v>
      </c>
      <c r="H47">
        <f>Quarterly_Firm!O47</f>
        <v>0.2844148739443999</v>
      </c>
      <c r="I47">
        <f>Quarterly_Firm!J47</f>
        <v>0</v>
      </c>
      <c r="J47">
        <f ca="1">IFERROR(VLOOKUP(A47,Quarterly_FX!$A:$D,2,FALSE),NA())</f>
        <v>1.029953276175008E-2</v>
      </c>
      <c r="K47">
        <f ca="1">IFERROR(VLOOKUP(A47,Quarterly_FX!$A:$D,3,FALSE),NA())</f>
        <v>1.0208087786747444E-2</v>
      </c>
    </row>
    <row r="48" spans="1:11" x14ac:dyDescent="0.25">
      <c r="A48" t="str">
        <f>Quarterly_Firm!A48</f>
        <v>2024Q3</v>
      </c>
      <c r="B48">
        <f>Quarterly_Firm!M48</f>
        <v>-3.2602670200411292E-2</v>
      </c>
      <c r="C48">
        <f>Quarterly_Firm!B48</f>
        <v>-89161</v>
      </c>
      <c r="D48">
        <f ca="1">CFV_Calc!G60</f>
        <v>2.0219601112710948E-2</v>
      </c>
      <c r="E48">
        <f ca="1">FX_Calc!F60</f>
        <v>3.5097160457998995E-2</v>
      </c>
      <c r="F48">
        <f>Quarterly_Firm!N48</f>
        <v>5.9289633364141334</v>
      </c>
      <c r="G48">
        <f>Quarterly_Firm!P48</f>
        <v>14.828628863273067</v>
      </c>
      <c r="H48">
        <f>Quarterly_Firm!O48</f>
        <v>0.26251264064720115</v>
      </c>
      <c r="I48">
        <f>Quarterly_Firm!J48</f>
        <v>0</v>
      </c>
      <c r="J48">
        <f ca="1">IFERROR(VLOOKUP(A48,Quarterly_FX!$A:$D,2,FALSE),NA())</f>
        <v>1.4236760598934532E-2</v>
      </c>
      <c r="K48">
        <f ca="1">IFERROR(VLOOKUP(A48,Quarterly_FX!$A:$D,3,FALSE),NA())</f>
        <v>1.7075840654729682E-2</v>
      </c>
    </row>
    <row r="49" spans="1:11" x14ac:dyDescent="0.25">
      <c r="A49" t="str">
        <f>Quarterly_Firm!A49</f>
        <v>2024Q4</v>
      </c>
      <c r="B49">
        <f>Quarterly_Firm!M49</f>
        <v>1.5832765660339414E-2</v>
      </c>
      <c r="C49">
        <f>Quarterly_Firm!B49</f>
        <v>44718</v>
      </c>
      <c r="D49">
        <f ca="1">CFV_Calc!G61</f>
        <v>1.8282311862816019E-2</v>
      </c>
      <c r="E49">
        <f ca="1">FX_Calc!F61</f>
        <v>3.9082136915186146E-2</v>
      </c>
      <c r="F49">
        <f>Quarterly_Firm!N49</f>
        <v>4.43840407368854</v>
      </c>
      <c r="G49">
        <f>Quarterly_Firm!P49</f>
        <v>14.878363017704393</v>
      </c>
      <c r="H49">
        <f>Quarterly_Firm!O49</f>
        <v>0.28966484104444251</v>
      </c>
      <c r="I49">
        <f>Quarterly_Firm!J49</f>
        <v>0</v>
      </c>
      <c r="J49">
        <f ca="1">IFERROR(VLOOKUP(A49,Quarterly_FX!$A:$D,2,FALSE),NA())</f>
        <v>2.4835139926477853E-3</v>
      </c>
      <c r="K49">
        <f ca="1">IFERROR(VLOOKUP(A49,Quarterly_FX!$A:$D,3,FALSE),NA())</f>
        <v>1.6692487271202882E-2</v>
      </c>
    </row>
    <row r="50" spans="1:11" x14ac:dyDescent="0.25">
      <c r="A50" t="str">
        <f>Quarterly_Firm!A50</f>
        <v>2025Q1</v>
      </c>
      <c r="B50">
        <f>Quarterly_Firm!M50</f>
        <v>-4.8418452684148294E-3</v>
      </c>
      <c r="C50">
        <f>Quarterly_Firm!B50</f>
        <v>-14073</v>
      </c>
      <c r="D50">
        <f ca="1">CFV_Calc!G62</f>
        <v>1.8935576741184595E-2</v>
      </c>
      <c r="E50">
        <f ca="1">FX_Calc!F62</f>
        <v>3.9300132324765515E-2</v>
      </c>
      <c r="F50">
        <f>Quarterly_Firm!N50</f>
        <v>4.5888176485953789</v>
      </c>
      <c r="G50">
        <f>Quarterly_Firm!P50</f>
        <v>14.886565609921417</v>
      </c>
      <c r="H50">
        <f>Quarterly_Firm!O50</f>
        <v>0.28050682278392858</v>
      </c>
      <c r="I50">
        <f>Quarterly_Firm!J50</f>
        <v>0</v>
      </c>
      <c r="J50">
        <f ca="1">IFERROR(VLOOKUP(A50,Quarterly_FX!$A:$D,2,FALSE),NA())</f>
        <v>4.8713266787455854E-3</v>
      </c>
      <c r="K50">
        <f ca="1">IFERROR(VLOOKUP(A50,Quarterly_FX!$A:$D,3,FALSE),NA())</f>
        <v>1.7011305053762641E-2</v>
      </c>
    </row>
    <row r="51" spans="1:11" x14ac:dyDescent="0.25">
      <c r="A51" t="str">
        <f>Quarterly_Firm!A51</f>
        <v>2025Q2</v>
      </c>
      <c r="B51">
        <f>Quarterly_Firm!M51</f>
        <v>-1.4884086910335151E-2</v>
      </c>
      <c r="C51">
        <f>Quarterly_Firm!B51</f>
        <v>-43393</v>
      </c>
      <c r="D51">
        <f ca="1">CFV_Calc!G63</f>
        <v>1.9576524315808422E-2</v>
      </c>
      <c r="E51">
        <f ca="1">FX_Calc!F63</f>
        <v>3.9631305537350101E-2</v>
      </c>
      <c r="F51">
        <f>Quarterly_Firm!N51</f>
        <v>5.265757167403109</v>
      </c>
      <c r="G51">
        <f>Quarterly_Firm!P51</f>
        <v>14.884465379523622</v>
      </c>
      <c r="H51">
        <f>Quarterly_Firm!O51</f>
        <v>0.27361224815452073</v>
      </c>
      <c r="I51">
        <f>Quarterly_Firm!J51</f>
        <v>0</v>
      </c>
      <c r="J51">
        <f ca="1">IFERROR(VLOOKUP(A51,Quarterly_FX!$A:$D,2,FALSE),NA())</f>
        <v>1.9437256102145205E-2</v>
      </c>
      <c r="K51">
        <f ca="1">IFERROR(VLOOKUP(A51,Quarterly_FX!$A:$D,3,FALSE),NA())</f>
        <v>1.7665206202411191E-2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workbookViewId="0">
      <selection activeCell="A6" sqref="A6"/>
    </sheetView>
  </sheetViews>
  <sheetFormatPr defaultRowHeight="15" x14ac:dyDescent="0.25"/>
  <cols>
    <col min="1" max="1" width="22" customWidth="1"/>
  </cols>
  <sheetData>
    <row r="1" spans="1:1" x14ac:dyDescent="0.25">
      <c r="A1" t="s">
        <v>47</v>
      </c>
    </row>
    <row r="2" spans="1:1" x14ac:dyDescent="0.25">
      <c r="A2" t="s">
        <v>48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51</v>
      </c>
    </row>
    <row r="6" spans="1:1" x14ac:dyDescent="0.25">
      <c r="A6" t="s">
        <v>52</v>
      </c>
    </row>
    <row r="7" spans="1:1" x14ac:dyDescent="0.25">
      <c r="A7" t="s">
        <v>53</v>
      </c>
    </row>
    <row r="8" spans="1:1" x14ac:dyDescent="0.25">
      <c r="A8" t="s">
        <v>54</v>
      </c>
    </row>
    <row r="9" spans="1:1" x14ac:dyDescent="0.25">
      <c r="A9" t="s">
        <v>55</v>
      </c>
    </row>
    <row r="10" spans="1:1" x14ac:dyDescent="0.25">
      <c r="A10" t="s">
        <v>56</v>
      </c>
    </row>
    <row r="11" spans="1:1" x14ac:dyDescent="0.25">
      <c r="A11" t="s">
        <v>57</v>
      </c>
    </row>
    <row r="12" spans="1:1" x14ac:dyDescent="0.25">
      <c r="A12" t="s">
        <v>58</v>
      </c>
    </row>
    <row r="13" spans="1:1" x14ac:dyDescent="0.25">
      <c r="A13" t="s">
        <v>59</v>
      </c>
    </row>
    <row r="14" spans="1:1" x14ac:dyDescent="0.25">
      <c r="A14" t="s">
        <v>60</v>
      </c>
    </row>
    <row r="15" spans="1:1" x14ac:dyDescent="0.25">
      <c r="A15" t="s">
        <v>61</v>
      </c>
    </row>
    <row r="16" spans="1:1" x14ac:dyDescent="0.25">
      <c r="A16" t="s">
        <v>62</v>
      </c>
    </row>
    <row r="17" spans="1:1" x14ac:dyDescent="0.25">
      <c r="A17" t="s">
        <v>63</v>
      </c>
    </row>
    <row r="18" spans="1:1" x14ac:dyDescent="0.25">
      <c r="A18" t="s">
        <v>64</v>
      </c>
    </row>
    <row r="19" spans="1:1" x14ac:dyDescent="0.25">
      <c r="A19" t="s">
        <v>65</v>
      </c>
    </row>
    <row r="20" spans="1:1" x14ac:dyDescent="0.25">
      <c r="A20" t="s">
        <v>66</v>
      </c>
    </row>
    <row r="21" spans="1:1" x14ac:dyDescent="0.25">
      <c r="A21" t="s">
        <v>67</v>
      </c>
    </row>
    <row r="22" spans="1:1" x14ac:dyDescent="0.25">
      <c r="A22" t="s">
        <v>68</v>
      </c>
    </row>
    <row r="23" spans="1:1" x14ac:dyDescent="0.25">
      <c r="A23" t="s">
        <v>69</v>
      </c>
    </row>
    <row r="26" spans="1:1" x14ac:dyDescent="0.25">
      <c r="A26" t="s">
        <v>4948</v>
      </c>
    </row>
    <row r="27" spans="1:1" x14ac:dyDescent="0.25">
      <c r="A27" t="s">
        <v>4949</v>
      </c>
    </row>
    <row r="28" spans="1:1" x14ac:dyDescent="0.25">
      <c r="A28" t="s">
        <v>4950</v>
      </c>
    </row>
    <row r="29" spans="1:1" x14ac:dyDescent="0.25">
      <c r="A29" t="s">
        <v>4951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28" workbookViewId="0">
      <selection activeCell="O66" sqref="O66"/>
    </sheetView>
  </sheetViews>
  <sheetFormatPr defaultRowHeight="15" x14ac:dyDescent="0.25"/>
  <cols>
    <col min="1" max="1" width="22" customWidth="1"/>
  </cols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23"/>
  <sheetViews>
    <sheetView workbookViewId="0">
      <pane ySplit="1" topLeftCell="A344" activePane="bottomLeft" state="frozen"/>
      <selection pane="bottomLeft" activeCell="B4931" sqref="B4931"/>
    </sheetView>
  </sheetViews>
  <sheetFormatPr defaultRowHeight="15" x14ac:dyDescent="0.25"/>
  <cols>
    <col min="1" max="4" width="22" customWidth="1"/>
  </cols>
  <sheetData>
    <row r="1" spans="1:4" x14ac:dyDescent="0.25">
      <c r="A1" t="s">
        <v>70</v>
      </c>
      <c r="B1" t="s">
        <v>71</v>
      </c>
      <c r="C1" t="s">
        <v>72</v>
      </c>
      <c r="D1" t="s">
        <v>73</v>
      </c>
    </row>
    <row r="2" spans="1:4" x14ac:dyDescent="0.25">
      <c r="A2" s="3">
        <v>40909</v>
      </c>
      <c r="B2" s="1">
        <v>9068</v>
      </c>
      <c r="C2" t="s">
        <v>4932</v>
      </c>
      <c r="D2" t="s">
        <v>4933</v>
      </c>
    </row>
    <row r="3" spans="1:4" x14ac:dyDescent="0.25">
      <c r="A3" s="3">
        <v>40910</v>
      </c>
      <c r="B3" s="1">
        <v>9125</v>
      </c>
      <c r="C3" t="s">
        <v>4932</v>
      </c>
      <c r="D3" t="s">
        <v>4933</v>
      </c>
    </row>
    <row r="4" spans="1:4" x14ac:dyDescent="0.25">
      <c r="A4" s="3">
        <v>40911</v>
      </c>
      <c r="B4" s="1">
        <v>9160</v>
      </c>
      <c r="C4" t="s">
        <v>4932</v>
      </c>
      <c r="D4" t="s">
        <v>4933</v>
      </c>
    </row>
    <row r="5" spans="1:4" x14ac:dyDescent="0.25">
      <c r="A5" s="3">
        <v>40912</v>
      </c>
      <c r="B5" s="1">
        <v>9180</v>
      </c>
      <c r="C5" t="s">
        <v>4932</v>
      </c>
      <c r="D5" t="s">
        <v>4933</v>
      </c>
    </row>
    <row r="6" spans="1:4" x14ac:dyDescent="0.25">
      <c r="A6" s="3">
        <v>40913</v>
      </c>
      <c r="B6" s="1">
        <v>9163</v>
      </c>
      <c r="C6" t="s">
        <v>4932</v>
      </c>
      <c r="D6" t="s">
        <v>4933</v>
      </c>
    </row>
    <row r="7" spans="1:4" x14ac:dyDescent="0.25">
      <c r="A7" s="3">
        <v>40914</v>
      </c>
      <c r="B7" s="1">
        <v>9160</v>
      </c>
      <c r="C7" t="s">
        <v>4932</v>
      </c>
      <c r="D7" t="s">
        <v>4933</v>
      </c>
    </row>
    <row r="8" spans="1:4" x14ac:dyDescent="0.25">
      <c r="A8" s="3">
        <v>40915</v>
      </c>
      <c r="B8" s="1">
        <v>9160</v>
      </c>
      <c r="C8" t="s">
        <v>4932</v>
      </c>
      <c r="D8" t="s">
        <v>4933</v>
      </c>
    </row>
    <row r="9" spans="1:4" x14ac:dyDescent="0.25">
      <c r="A9" s="3">
        <v>40916</v>
      </c>
      <c r="B9" s="1">
        <v>9160</v>
      </c>
      <c r="C9" t="s">
        <v>4932</v>
      </c>
      <c r="D9" t="s">
        <v>4933</v>
      </c>
    </row>
    <row r="10" spans="1:4" x14ac:dyDescent="0.25">
      <c r="A10" s="3">
        <v>40917</v>
      </c>
      <c r="B10" s="1">
        <v>9188</v>
      </c>
      <c r="C10" t="s">
        <v>4932</v>
      </c>
      <c r="D10" t="s">
        <v>4933</v>
      </c>
    </row>
    <row r="11" spans="1:4" x14ac:dyDescent="0.25">
      <c r="A11" s="3">
        <v>40918</v>
      </c>
      <c r="B11" s="1">
        <v>9190</v>
      </c>
      <c r="C11" t="s">
        <v>4932</v>
      </c>
      <c r="D11" t="s">
        <v>4933</v>
      </c>
    </row>
    <row r="12" spans="1:4" x14ac:dyDescent="0.25">
      <c r="A12" s="3">
        <v>40919</v>
      </c>
      <c r="B12" s="1">
        <v>9200</v>
      </c>
      <c r="C12" t="s">
        <v>4932</v>
      </c>
      <c r="D12" t="s">
        <v>4933</v>
      </c>
    </row>
    <row r="13" spans="1:4" x14ac:dyDescent="0.25">
      <c r="A13" s="3">
        <v>40920</v>
      </c>
      <c r="B13" s="1">
        <v>9210</v>
      </c>
      <c r="C13" t="s">
        <v>4932</v>
      </c>
      <c r="D13" t="s">
        <v>4933</v>
      </c>
    </row>
    <row r="14" spans="1:4" x14ac:dyDescent="0.25">
      <c r="A14" s="3">
        <v>40921</v>
      </c>
      <c r="B14" s="1">
        <v>9180</v>
      </c>
      <c r="C14" t="s">
        <v>4932</v>
      </c>
      <c r="D14" t="s">
        <v>4933</v>
      </c>
    </row>
    <row r="15" spans="1:4" x14ac:dyDescent="0.25">
      <c r="A15" s="3">
        <v>40922</v>
      </c>
      <c r="B15" s="1">
        <v>9180</v>
      </c>
      <c r="C15" t="s">
        <v>4932</v>
      </c>
      <c r="D15" t="s">
        <v>4933</v>
      </c>
    </row>
    <row r="16" spans="1:4" x14ac:dyDescent="0.25">
      <c r="A16" s="3">
        <v>40923</v>
      </c>
      <c r="B16" s="1">
        <v>9180</v>
      </c>
      <c r="C16" t="s">
        <v>4932</v>
      </c>
      <c r="D16" t="s">
        <v>4933</v>
      </c>
    </row>
    <row r="17" spans="1:4" x14ac:dyDescent="0.25">
      <c r="A17" s="3">
        <v>40924</v>
      </c>
      <c r="B17" s="1">
        <v>9175</v>
      </c>
      <c r="C17" t="s">
        <v>4932</v>
      </c>
      <c r="D17" t="s">
        <v>4933</v>
      </c>
    </row>
    <row r="18" spans="1:4" x14ac:dyDescent="0.25">
      <c r="A18" s="3">
        <v>40925</v>
      </c>
      <c r="B18" s="1">
        <v>9208</v>
      </c>
      <c r="C18" t="s">
        <v>4932</v>
      </c>
      <c r="D18" t="s">
        <v>4933</v>
      </c>
    </row>
    <row r="19" spans="1:4" x14ac:dyDescent="0.25">
      <c r="A19" s="3">
        <v>40926</v>
      </c>
      <c r="B19" s="1">
        <v>9160</v>
      </c>
      <c r="C19" t="s">
        <v>4932</v>
      </c>
      <c r="D19" t="s">
        <v>4933</v>
      </c>
    </row>
    <row r="20" spans="1:4" x14ac:dyDescent="0.25">
      <c r="A20" s="3">
        <v>40927</v>
      </c>
      <c r="B20" s="1">
        <v>9075</v>
      </c>
      <c r="C20" t="s">
        <v>4932</v>
      </c>
      <c r="D20" t="s">
        <v>4933</v>
      </c>
    </row>
    <row r="21" spans="1:4" x14ac:dyDescent="0.25">
      <c r="A21" s="3">
        <v>40928</v>
      </c>
      <c r="B21" s="1">
        <v>8955</v>
      </c>
      <c r="C21" t="s">
        <v>4932</v>
      </c>
      <c r="D21" t="s">
        <v>4933</v>
      </c>
    </row>
    <row r="22" spans="1:4" x14ac:dyDescent="0.25">
      <c r="A22" s="3">
        <v>40929</v>
      </c>
      <c r="B22" s="1">
        <v>8955</v>
      </c>
      <c r="C22" t="s">
        <v>4932</v>
      </c>
      <c r="D22" t="s">
        <v>4933</v>
      </c>
    </row>
    <row r="23" spans="1:4" x14ac:dyDescent="0.25">
      <c r="A23" s="3">
        <v>40930</v>
      </c>
      <c r="B23" s="1">
        <v>8955</v>
      </c>
      <c r="C23" t="s">
        <v>4932</v>
      </c>
      <c r="D23" t="s">
        <v>4933</v>
      </c>
    </row>
    <row r="24" spans="1:4" x14ac:dyDescent="0.25">
      <c r="A24" s="3">
        <v>40931</v>
      </c>
      <c r="B24" s="1">
        <v>8955</v>
      </c>
      <c r="C24" t="s">
        <v>4932</v>
      </c>
      <c r="D24" t="s">
        <v>4933</v>
      </c>
    </row>
    <row r="25" spans="1:4" x14ac:dyDescent="0.25">
      <c r="A25" s="3">
        <v>40932</v>
      </c>
      <c r="B25" s="1">
        <v>8985</v>
      </c>
      <c r="C25" t="s">
        <v>4932</v>
      </c>
      <c r="D25" t="s">
        <v>4933</v>
      </c>
    </row>
    <row r="26" spans="1:4" x14ac:dyDescent="0.25">
      <c r="A26" s="3">
        <v>40933</v>
      </c>
      <c r="B26" s="1">
        <v>9018</v>
      </c>
      <c r="C26" t="s">
        <v>4932</v>
      </c>
      <c r="D26" t="s">
        <v>4933</v>
      </c>
    </row>
    <row r="27" spans="1:4" x14ac:dyDescent="0.25">
      <c r="A27" s="3">
        <v>40934</v>
      </c>
      <c r="B27" s="1">
        <v>8995</v>
      </c>
      <c r="C27" t="s">
        <v>4932</v>
      </c>
      <c r="D27" t="s">
        <v>4933</v>
      </c>
    </row>
    <row r="28" spans="1:4" x14ac:dyDescent="0.25">
      <c r="A28" s="3">
        <v>40935</v>
      </c>
      <c r="B28" s="1">
        <v>8980</v>
      </c>
      <c r="C28" t="s">
        <v>4932</v>
      </c>
      <c r="D28" t="s">
        <v>4933</v>
      </c>
    </row>
    <row r="29" spans="1:4" x14ac:dyDescent="0.25">
      <c r="A29" s="3">
        <v>40936</v>
      </c>
      <c r="B29" s="1">
        <v>8980</v>
      </c>
      <c r="C29" t="s">
        <v>4932</v>
      </c>
      <c r="D29" t="s">
        <v>4933</v>
      </c>
    </row>
    <row r="30" spans="1:4" x14ac:dyDescent="0.25">
      <c r="A30" s="3">
        <v>40937</v>
      </c>
      <c r="B30" s="1">
        <v>8980</v>
      </c>
      <c r="C30" t="s">
        <v>4932</v>
      </c>
      <c r="D30" t="s">
        <v>4933</v>
      </c>
    </row>
    <row r="31" spans="1:4" x14ac:dyDescent="0.25">
      <c r="A31" s="3">
        <v>40938</v>
      </c>
      <c r="B31" s="1">
        <v>8985</v>
      </c>
      <c r="C31" t="s">
        <v>4932</v>
      </c>
      <c r="D31" t="s">
        <v>4933</v>
      </c>
    </row>
    <row r="32" spans="1:4" x14ac:dyDescent="0.25">
      <c r="A32" s="3">
        <v>40939</v>
      </c>
      <c r="B32" s="1">
        <v>9000</v>
      </c>
      <c r="C32" t="s">
        <v>4932</v>
      </c>
      <c r="D32" t="s">
        <v>4933</v>
      </c>
    </row>
    <row r="33" spans="1:4" x14ac:dyDescent="0.25">
      <c r="A33" s="3">
        <v>40940</v>
      </c>
      <c r="B33" s="1">
        <v>9022</v>
      </c>
      <c r="C33" t="s">
        <v>4934</v>
      </c>
      <c r="D33" t="s">
        <v>4933</v>
      </c>
    </row>
    <row r="34" spans="1:4" x14ac:dyDescent="0.25">
      <c r="A34" s="3">
        <v>40941</v>
      </c>
      <c r="B34" s="1">
        <v>8892</v>
      </c>
      <c r="C34" t="s">
        <v>4934</v>
      </c>
      <c r="D34" t="s">
        <v>4933</v>
      </c>
    </row>
    <row r="35" spans="1:4" x14ac:dyDescent="0.25">
      <c r="A35" s="3">
        <v>40942</v>
      </c>
      <c r="B35" s="1">
        <v>8895</v>
      </c>
      <c r="C35" t="s">
        <v>4934</v>
      </c>
      <c r="D35" t="s">
        <v>4933</v>
      </c>
    </row>
    <row r="36" spans="1:4" x14ac:dyDescent="0.25">
      <c r="A36" s="3">
        <v>40943</v>
      </c>
      <c r="B36" s="1">
        <v>8895</v>
      </c>
      <c r="C36" t="s">
        <v>4934</v>
      </c>
      <c r="D36" t="s">
        <v>4933</v>
      </c>
    </row>
    <row r="37" spans="1:4" x14ac:dyDescent="0.25">
      <c r="A37" s="3">
        <v>40944</v>
      </c>
      <c r="B37" s="1">
        <v>8895</v>
      </c>
      <c r="C37" t="s">
        <v>4934</v>
      </c>
      <c r="D37" t="s">
        <v>4933</v>
      </c>
    </row>
    <row r="38" spans="1:4" x14ac:dyDescent="0.25">
      <c r="A38" s="3">
        <v>40945</v>
      </c>
      <c r="B38" s="1">
        <v>8988</v>
      </c>
      <c r="C38" t="s">
        <v>4934</v>
      </c>
      <c r="D38" t="s">
        <v>4933</v>
      </c>
    </row>
    <row r="39" spans="1:4" x14ac:dyDescent="0.25">
      <c r="A39" s="3">
        <v>40946</v>
      </c>
      <c r="B39" s="1">
        <v>8998</v>
      </c>
      <c r="C39" t="s">
        <v>4934</v>
      </c>
      <c r="D39" t="s">
        <v>4933</v>
      </c>
    </row>
    <row r="40" spans="1:4" x14ac:dyDescent="0.25">
      <c r="A40" s="3">
        <v>40947</v>
      </c>
      <c r="B40" s="1">
        <v>8988</v>
      </c>
      <c r="C40" t="s">
        <v>4934</v>
      </c>
      <c r="D40" t="s">
        <v>4933</v>
      </c>
    </row>
    <row r="41" spans="1:4" x14ac:dyDescent="0.25">
      <c r="A41" s="3">
        <v>40948</v>
      </c>
      <c r="B41" s="1">
        <v>8910</v>
      </c>
      <c r="C41" t="s">
        <v>4934</v>
      </c>
      <c r="D41" t="s">
        <v>4933</v>
      </c>
    </row>
    <row r="42" spans="1:4" x14ac:dyDescent="0.25">
      <c r="A42" s="3">
        <v>40949</v>
      </c>
      <c r="B42" s="1">
        <v>8993</v>
      </c>
      <c r="C42" t="s">
        <v>4934</v>
      </c>
      <c r="D42" t="s">
        <v>4933</v>
      </c>
    </row>
    <row r="43" spans="1:4" x14ac:dyDescent="0.25">
      <c r="A43" s="3">
        <v>40950</v>
      </c>
      <c r="B43" s="1">
        <v>8993</v>
      </c>
      <c r="C43" t="s">
        <v>4934</v>
      </c>
      <c r="D43" t="s">
        <v>4933</v>
      </c>
    </row>
    <row r="44" spans="1:4" x14ac:dyDescent="0.25">
      <c r="A44" s="3">
        <v>40951</v>
      </c>
      <c r="B44" s="1">
        <v>8993</v>
      </c>
      <c r="C44" t="s">
        <v>4934</v>
      </c>
      <c r="D44" t="s">
        <v>4933</v>
      </c>
    </row>
    <row r="45" spans="1:4" x14ac:dyDescent="0.25">
      <c r="A45" s="3">
        <v>40952</v>
      </c>
      <c r="B45" s="1">
        <v>9023</v>
      </c>
      <c r="C45" t="s">
        <v>4934</v>
      </c>
      <c r="D45" t="s">
        <v>4933</v>
      </c>
    </row>
    <row r="46" spans="1:4" x14ac:dyDescent="0.25">
      <c r="A46" s="3">
        <v>40953</v>
      </c>
      <c r="B46" s="1">
        <v>9037</v>
      </c>
      <c r="C46" t="s">
        <v>4934</v>
      </c>
      <c r="D46" t="s">
        <v>4933</v>
      </c>
    </row>
    <row r="47" spans="1:4" x14ac:dyDescent="0.25">
      <c r="A47" s="3">
        <v>40954</v>
      </c>
      <c r="B47" s="1">
        <v>9040</v>
      </c>
      <c r="C47" t="s">
        <v>4934</v>
      </c>
      <c r="D47" t="s">
        <v>4933</v>
      </c>
    </row>
    <row r="48" spans="1:4" x14ac:dyDescent="0.25">
      <c r="A48" s="3">
        <v>40955</v>
      </c>
      <c r="B48" s="1">
        <v>8995</v>
      </c>
      <c r="C48" t="s">
        <v>4934</v>
      </c>
      <c r="D48" t="s">
        <v>4933</v>
      </c>
    </row>
    <row r="49" spans="1:4" x14ac:dyDescent="0.25">
      <c r="A49" s="3">
        <v>40956</v>
      </c>
      <c r="B49" s="1">
        <v>9028</v>
      </c>
      <c r="C49" t="s">
        <v>4934</v>
      </c>
      <c r="D49" t="s">
        <v>4933</v>
      </c>
    </row>
    <row r="50" spans="1:4" x14ac:dyDescent="0.25">
      <c r="A50" s="3">
        <v>40957</v>
      </c>
      <c r="B50" s="1">
        <v>9028</v>
      </c>
      <c r="C50" t="s">
        <v>4934</v>
      </c>
      <c r="D50" t="s">
        <v>4933</v>
      </c>
    </row>
    <row r="51" spans="1:4" x14ac:dyDescent="0.25">
      <c r="A51" s="3">
        <v>40958</v>
      </c>
      <c r="B51" s="1">
        <v>9028</v>
      </c>
      <c r="C51" t="s">
        <v>4934</v>
      </c>
      <c r="D51" t="s">
        <v>4933</v>
      </c>
    </row>
    <row r="52" spans="1:4" x14ac:dyDescent="0.25">
      <c r="A52" s="3">
        <v>40959</v>
      </c>
      <c r="B52" s="1">
        <v>9035</v>
      </c>
      <c r="C52" t="s">
        <v>4934</v>
      </c>
      <c r="D52" t="s">
        <v>4933</v>
      </c>
    </row>
    <row r="53" spans="1:4" x14ac:dyDescent="0.25">
      <c r="A53" s="3">
        <v>40960</v>
      </c>
      <c r="B53" s="1">
        <v>9045</v>
      </c>
      <c r="C53" t="s">
        <v>4934</v>
      </c>
      <c r="D53" t="s">
        <v>4933</v>
      </c>
    </row>
    <row r="54" spans="1:4" x14ac:dyDescent="0.25">
      <c r="A54" s="3">
        <v>40961</v>
      </c>
      <c r="B54" s="1">
        <v>9059</v>
      </c>
      <c r="C54" t="s">
        <v>4934</v>
      </c>
      <c r="D54" t="s">
        <v>4933</v>
      </c>
    </row>
    <row r="55" spans="1:4" x14ac:dyDescent="0.25">
      <c r="A55" s="3">
        <v>40962</v>
      </c>
      <c r="B55" s="1">
        <v>9070</v>
      </c>
      <c r="C55" t="s">
        <v>4934</v>
      </c>
      <c r="D55" t="s">
        <v>4933</v>
      </c>
    </row>
    <row r="56" spans="1:4" x14ac:dyDescent="0.25">
      <c r="A56" s="3">
        <v>40963</v>
      </c>
      <c r="B56" s="1">
        <v>9070</v>
      </c>
      <c r="C56" t="s">
        <v>4934</v>
      </c>
      <c r="D56" t="s">
        <v>4933</v>
      </c>
    </row>
    <row r="57" spans="1:4" x14ac:dyDescent="0.25">
      <c r="A57" s="3">
        <v>40964</v>
      </c>
      <c r="B57" s="1">
        <v>9070</v>
      </c>
      <c r="C57" t="s">
        <v>4934</v>
      </c>
      <c r="D57" t="s">
        <v>4933</v>
      </c>
    </row>
    <row r="58" spans="1:4" x14ac:dyDescent="0.25">
      <c r="A58" s="3">
        <v>40965</v>
      </c>
      <c r="B58" s="1">
        <v>9070</v>
      </c>
      <c r="C58" t="s">
        <v>4934</v>
      </c>
      <c r="D58" t="s">
        <v>4933</v>
      </c>
    </row>
    <row r="59" spans="1:4" x14ac:dyDescent="0.25">
      <c r="A59" s="3">
        <v>40966</v>
      </c>
      <c r="B59" s="1">
        <v>9110</v>
      </c>
      <c r="C59" t="s">
        <v>4934</v>
      </c>
      <c r="D59" t="s">
        <v>4933</v>
      </c>
    </row>
    <row r="60" spans="1:4" x14ac:dyDescent="0.25">
      <c r="A60" s="3">
        <v>40967</v>
      </c>
      <c r="B60" s="1">
        <v>9158</v>
      </c>
      <c r="C60" t="s">
        <v>4934</v>
      </c>
      <c r="D60" t="s">
        <v>4933</v>
      </c>
    </row>
    <row r="61" spans="1:4" x14ac:dyDescent="0.25">
      <c r="A61" s="3">
        <v>40968</v>
      </c>
      <c r="B61" s="1">
        <v>9085</v>
      </c>
      <c r="C61" t="s">
        <v>4934</v>
      </c>
      <c r="D61" t="s">
        <v>4933</v>
      </c>
    </row>
    <row r="62" spans="1:4" x14ac:dyDescent="0.25">
      <c r="A62" s="3">
        <v>40969</v>
      </c>
      <c r="B62" s="1">
        <v>9098</v>
      </c>
      <c r="C62" t="s">
        <v>4935</v>
      </c>
      <c r="D62" t="s">
        <v>4933</v>
      </c>
    </row>
    <row r="63" spans="1:4" x14ac:dyDescent="0.25">
      <c r="A63" s="3">
        <v>40970</v>
      </c>
      <c r="B63" s="1">
        <v>9108</v>
      </c>
      <c r="C63" t="s">
        <v>4935</v>
      </c>
      <c r="D63" t="s">
        <v>4933</v>
      </c>
    </row>
    <row r="64" spans="1:4" x14ac:dyDescent="0.25">
      <c r="A64" s="3">
        <v>40971</v>
      </c>
      <c r="B64" s="1">
        <v>9108</v>
      </c>
      <c r="C64" t="s">
        <v>4935</v>
      </c>
      <c r="D64" t="s">
        <v>4933</v>
      </c>
    </row>
    <row r="65" spans="1:4" x14ac:dyDescent="0.25">
      <c r="A65" s="3">
        <v>40972</v>
      </c>
      <c r="B65" s="1">
        <v>9108</v>
      </c>
      <c r="C65" t="s">
        <v>4935</v>
      </c>
      <c r="D65" t="s">
        <v>4933</v>
      </c>
    </row>
    <row r="66" spans="1:4" x14ac:dyDescent="0.25">
      <c r="A66" s="3">
        <v>40973</v>
      </c>
      <c r="B66" s="1">
        <v>9130</v>
      </c>
      <c r="C66" t="s">
        <v>4935</v>
      </c>
      <c r="D66" t="s">
        <v>4933</v>
      </c>
    </row>
    <row r="67" spans="1:4" x14ac:dyDescent="0.25">
      <c r="A67" s="3">
        <v>40974</v>
      </c>
      <c r="B67" s="1">
        <v>9163</v>
      </c>
      <c r="C67" t="s">
        <v>4935</v>
      </c>
      <c r="D67" t="s">
        <v>4933</v>
      </c>
    </row>
    <row r="68" spans="1:4" x14ac:dyDescent="0.25">
      <c r="A68" s="3">
        <v>40975</v>
      </c>
      <c r="B68" s="1">
        <v>9190</v>
      </c>
      <c r="C68" t="s">
        <v>4935</v>
      </c>
      <c r="D68" t="s">
        <v>4933</v>
      </c>
    </row>
    <row r="69" spans="1:4" x14ac:dyDescent="0.25">
      <c r="A69" s="3">
        <v>40976</v>
      </c>
      <c r="B69" s="1">
        <v>9163</v>
      </c>
      <c r="C69" t="s">
        <v>4935</v>
      </c>
      <c r="D69" t="s">
        <v>4933</v>
      </c>
    </row>
    <row r="70" spans="1:4" x14ac:dyDescent="0.25">
      <c r="A70" s="3">
        <v>40977</v>
      </c>
      <c r="B70" s="1">
        <v>9133</v>
      </c>
      <c r="C70" t="s">
        <v>4935</v>
      </c>
      <c r="D70" t="s">
        <v>4933</v>
      </c>
    </row>
    <row r="71" spans="1:4" x14ac:dyDescent="0.25">
      <c r="A71" s="3">
        <v>40978</v>
      </c>
      <c r="B71" s="1">
        <v>9133</v>
      </c>
      <c r="C71" t="s">
        <v>4935</v>
      </c>
      <c r="D71" t="s">
        <v>4933</v>
      </c>
    </row>
    <row r="72" spans="1:4" x14ac:dyDescent="0.25">
      <c r="A72" s="3">
        <v>40979</v>
      </c>
      <c r="B72" s="1">
        <v>9133</v>
      </c>
      <c r="C72" t="s">
        <v>4935</v>
      </c>
      <c r="D72" t="s">
        <v>4933</v>
      </c>
    </row>
    <row r="73" spans="1:4" x14ac:dyDescent="0.25">
      <c r="A73" s="3">
        <v>40980</v>
      </c>
      <c r="B73" s="1">
        <v>9160</v>
      </c>
      <c r="C73" t="s">
        <v>4935</v>
      </c>
      <c r="D73" t="s">
        <v>4933</v>
      </c>
    </row>
    <row r="74" spans="1:4" x14ac:dyDescent="0.25">
      <c r="A74" s="3">
        <v>40981</v>
      </c>
      <c r="B74" s="1">
        <v>9165</v>
      </c>
      <c r="C74" t="s">
        <v>4935</v>
      </c>
      <c r="D74" t="s">
        <v>4933</v>
      </c>
    </row>
    <row r="75" spans="1:4" x14ac:dyDescent="0.25">
      <c r="A75" s="3">
        <v>40982</v>
      </c>
      <c r="B75" s="1">
        <v>9193</v>
      </c>
      <c r="C75" t="s">
        <v>4935</v>
      </c>
      <c r="D75" t="s">
        <v>4933</v>
      </c>
    </row>
    <row r="76" spans="1:4" x14ac:dyDescent="0.25">
      <c r="A76" s="3">
        <v>40983</v>
      </c>
      <c r="B76" s="1">
        <v>9193</v>
      </c>
      <c r="C76" t="s">
        <v>4935</v>
      </c>
      <c r="D76" t="s">
        <v>4933</v>
      </c>
    </row>
    <row r="77" spans="1:4" x14ac:dyDescent="0.25">
      <c r="A77" s="3">
        <v>40984</v>
      </c>
      <c r="B77" s="1">
        <v>9178</v>
      </c>
      <c r="C77" t="s">
        <v>4935</v>
      </c>
      <c r="D77" t="s">
        <v>4933</v>
      </c>
    </row>
    <row r="78" spans="1:4" x14ac:dyDescent="0.25">
      <c r="A78" s="3">
        <v>40985</v>
      </c>
      <c r="B78" s="1">
        <v>9178</v>
      </c>
      <c r="C78" t="s">
        <v>4935</v>
      </c>
      <c r="D78" t="s">
        <v>4933</v>
      </c>
    </row>
    <row r="79" spans="1:4" x14ac:dyDescent="0.25">
      <c r="A79" s="3">
        <v>40986</v>
      </c>
      <c r="B79" s="1">
        <v>9178</v>
      </c>
      <c r="C79" t="s">
        <v>4935</v>
      </c>
      <c r="D79" t="s">
        <v>4933</v>
      </c>
    </row>
    <row r="80" spans="1:4" x14ac:dyDescent="0.25">
      <c r="A80" s="3">
        <v>40987</v>
      </c>
      <c r="B80" s="1">
        <v>9168</v>
      </c>
      <c r="C80" t="s">
        <v>4935</v>
      </c>
      <c r="D80" t="s">
        <v>4933</v>
      </c>
    </row>
    <row r="81" spans="1:4" x14ac:dyDescent="0.25">
      <c r="A81" s="3">
        <v>40988</v>
      </c>
      <c r="B81" s="1">
        <v>9160</v>
      </c>
      <c r="C81" t="s">
        <v>4935</v>
      </c>
      <c r="D81" t="s">
        <v>4933</v>
      </c>
    </row>
    <row r="82" spans="1:4" x14ac:dyDescent="0.25">
      <c r="A82" s="3">
        <v>40989</v>
      </c>
      <c r="B82" s="1">
        <v>9180</v>
      </c>
      <c r="C82" t="s">
        <v>4935</v>
      </c>
      <c r="D82" t="s">
        <v>4933</v>
      </c>
    </row>
    <row r="83" spans="1:4" x14ac:dyDescent="0.25">
      <c r="A83" s="3">
        <v>40990</v>
      </c>
      <c r="B83" s="1">
        <v>9173</v>
      </c>
      <c r="C83" t="s">
        <v>4935</v>
      </c>
      <c r="D83" t="s">
        <v>4933</v>
      </c>
    </row>
    <row r="84" spans="1:4" x14ac:dyDescent="0.25">
      <c r="A84" s="3">
        <v>40991</v>
      </c>
      <c r="B84" s="1">
        <v>9173</v>
      </c>
      <c r="C84" t="s">
        <v>4935</v>
      </c>
      <c r="D84" t="s">
        <v>4933</v>
      </c>
    </row>
    <row r="85" spans="1:4" x14ac:dyDescent="0.25">
      <c r="A85" s="3">
        <v>40992</v>
      </c>
      <c r="B85" s="1">
        <v>9173</v>
      </c>
      <c r="C85" t="s">
        <v>4935</v>
      </c>
      <c r="D85" t="s">
        <v>4933</v>
      </c>
    </row>
    <row r="86" spans="1:4" x14ac:dyDescent="0.25">
      <c r="A86" s="3">
        <v>40993</v>
      </c>
      <c r="B86" s="1">
        <v>9173</v>
      </c>
      <c r="C86" t="s">
        <v>4935</v>
      </c>
      <c r="D86" t="s">
        <v>4933</v>
      </c>
    </row>
    <row r="87" spans="1:4" x14ac:dyDescent="0.25">
      <c r="A87" s="3">
        <v>40994</v>
      </c>
      <c r="B87" s="1">
        <v>9181</v>
      </c>
      <c r="C87" t="s">
        <v>4935</v>
      </c>
      <c r="D87" t="s">
        <v>4933</v>
      </c>
    </row>
    <row r="88" spans="1:4" x14ac:dyDescent="0.25">
      <c r="A88" s="3">
        <v>40995</v>
      </c>
      <c r="B88" s="1">
        <v>9188</v>
      </c>
      <c r="C88" t="s">
        <v>4935</v>
      </c>
      <c r="D88" t="s">
        <v>4933</v>
      </c>
    </row>
    <row r="89" spans="1:4" x14ac:dyDescent="0.25">
      <c r="A89" s="3">
        <v>40996</v>
      </c>
      <c r="B89" s="1">
        <v>9180</v>
      </c>
      <c r="C89" t="s">
        <v>4935</v>
      </c>
      <c r="D89" t="s">
        <v>4933</v>
      </c>
    </row>
    <row r="90" spans="1:4" x14ac:dyDescent="0.25">
      <c r="A90" s="3">
        <v>40997</v>
      </c>
      <c r="B90" s="1">
        <v>9188</v>
      </c>
      <c r="C90" t="s">
        <v>4935</v>
      </c>
      <c r="D90" t="s">
        <v>4933</v>
      </c>
    </row>
    <row r="91" spans="1:4" x14ac:dyDescent="0.25">
      <c r="A91" s="3">
        <v>40998</v>
      </c>
      <c r="B91" s="1">
        <v>9180</v>
      </c>
      <c r="C91" t="s">
        <v>4935</v>
      </c>
      <c r="D91" t="s">
        <v>4933</v>
      </c>
    </row>
    <row r="92" spans="1:4" x14ac:dyDescent="0.25">
      <c r="A92" s="3">
        <v>40999</v>
      </c>
      <c r="B92" s="1">
        <v>9180</v>
      </c>
      <c r="C92" t="s">
        <v>4935</v>
      </c>
      <c r="D92" t="s">
        <v>4933</v>
      </c>
    </row>
    <row r="93" spans="1:4" x14ac:dyDescent="0.25">
      <c r="A93" s="3">
        <v>41000</v>
      </c>
      <c r="B93" s="1">
        <v>9180</v>
      </c>
      <c r="C93" t="s">
        <v>4936</v>
      </c>
      <c r="D93" t="s">
        <v>4937</v>
      </c>
    </row>
    <row r="94" spans="1:4" x14ac:dyDescent="0.25">
      <c r="A94" s="3">
        <v>41001</v>
      </c>
      <c r="B94" s="1">
        <v>9163</v>
      </c>
      <c r="C94" t="s">
        <v>4936</v>
      </c>
      <c r="D94" t="s">
        <v>4937</v>
      </c>
    </row>
    <row r="95" spans="1:4" x14ac:dyDescent="0.25">
      <c r="A95" s="3">
        <v>41002</v>
      </c>
      <c r="B95" s="1">
        <v>9145</v>
      </c>
      <c r="C95" t="s">
        <v>4936</v>
      </c>
      <c r="D95" t="s">
        <v>4937</v>
      </c>
    </row>
    <row r="96" spans="1:4" x14ac:dyDescent="0.25">
      <c r="A96" s="3">
        <v>41003</v>
      </c>
      <c r="B96" s="1">
        <v>9158</v>
      </c>
      <c r="C96" t="s">
        <v>4936</v>
      </c>
      <c r="D96" t="s">
        <v>4937</v>
      </c>
    </row>
    <row r="97" spans="1:4" x14ac:dyDescent="0.25">
      <c r="A97" s="3">
        <v>41004</v>
      </c>
      <c r="B97" s="1">
        <v>9159</v>
      </c>
      <c r="C97" t="s">
        <v>4936</v>
      </c>
      <c r="D97" t="s">
        <v>4937</v>
      </c>
    </row>
    <row r="98" spans="1:4" x14ac:dyDescent="0.25">
      <c r="A98" s="3">
        <v>41005</v>
      </c>
      <c r="B98" s="1">
        <v>9159</v>
      </c>
      <c r="C98" t="s">
        <v>4936</v>
      </c>
      <c r="D98" t="s">
        <v>4937</v>
      </c>
    </row>
    <row r="99" spans="1:4" x14ac:dyDescent="0.25">
      <c r="A99" s="3">
        <v>41006</v>
      </c>
      <c r="B99" s="1">
        <v>9159</v>
      </c>
      <c r="C99" t="s">
        <v>4936</v>
      </c>
      <c r="D99" t="s">
        <v>4937</v>
      </c>
    </row>
    <row r="100" spans="1:4" x14ac:dyDescent="0.25">
      <c r="A100" s="3">
        <v>41007</v>
      </c>
      <c r="B100" s="1">
        <v>9159</v>
      </c>
      <c r="C100" t="s">
        <v>4936</v>
      </c>
      <c r="D100" t="s">
        <v>4937</v>
      </c>
    </row>
    <row r="101" spans="1:4" x14ac:dyDescent="0.25">
      <c r="A101" s="3">
        <v>41008</v>
      </c>
      <c r="B101" s="1">
        <v>9168</v>
      </c>
      <c r="C101" t="s">
        <v>4936</v>
      </c>
      <c r="D101" t="s">
        <v>4937</v>
      </c>
    </row>
    <row r="102" spans="1:4" x14ac:dyDescent="0.25">
      <c r="A102" s="3">
        <v>41009</v>
      </c>
      <c r="B102" s="1">
        <v>9165</v>
      </c>
      <c r="C102" t="s">
        <v>4936</v>
      </c>
      <c r="D102" t="s">
        <v>4937</v>
      </c>
    </row>
    <row r="103" spans="1:4" x14ac:dyDescent="0.25">
      <c r="A103" s="3">
        <v>41010</v>
      </c>
      <c r="B103" s="1">
        <v>9170</v>
      </c>
      <c r="C103" t="s">
        <v>4936</v>
      </c>
      <c r="D103" t="s">
        <v>4937</v>
      </c>
    </row>
    <row r="104" spans="1:4" x14ac:dyDescent="0.25">
      <c r="A104" s="3">
        <v>41011</v>
      </c>
      <c r="B104" s="1">
        <v>9173</v>
      </c>
      <c r="C104" t="s">
        <v>4936</v>
      </c>
      <c r="D104" t="s">
        <v>4937</v>
      </c>
    </row>
    <row r="105" spans="1:4" x14ac:dyDescent="0.25">
      <c r="A105" s="3">
        <v>41012</v>
      </c>
      <c r="B105" s="1">
        <v>9174</v>
      </c>
      <c r="C105" t="s">
        <v>4936</v>
      </c>
      <c r="D105" t="s">
        <v>4937</v>
      </c>
    </row>
    <row r="106" spans="1:4" x14ac:dyDescent="0.25">
      <c r="A106" s="3">
        <v>41013</v>
      </c>
      <c r="B106" s="1">
        <v>9174</v>
      </c>
      <c r="C106" t="s">
        <v>4936</v>
      </c>
      <c r="D106" t="s">
        <v>4937</v>
      </c>
    </row>
    <row r="107" spans="1:4" x14ac:dyDescent="0.25">
      <c r="A107" s="3">
        <v>41014</v>
      </c>
      <c r="B107" s="1">
        <v>9174</v>
      </c>
      <c r="C107" t="s">
        <v>4936</v>
      </c>
      <c r="D107" t="s">
        <v>4937</v>
      </c>
    </row>
    <row r="108" spans="1:4" x14ac:dyDescent="0.25">
      <c r="A108" s="3">
        <v>41015</v>
      </c>
      <c r="B108" s="1">
        <v>9173</v>
      </c>
      <c r="C108" t="s">
        <v>4936</v>
      </c>
      <c r="D108" t="s">
        <v>4937</v>
      </c>
    </row>
    <row r="109" spans="1:4" x14ac:dyDescent="0.25">
      <c r="A109" s="3">
        <v>41016</v>
      </c>
      <c r="B109" s="1">
        <v>9178</v>
      </c>
      <c r="C109" t="s">
        <v>4936</v>
      </c>
      <c r="D109" t="s">
        <v>4937</v>
      </c>
    </row>
    <row r="110" spans="1:4" x14ac:dyDescent="0.25">
      <c r="A110" s="3">
        <v>41017</v>
      </c>
      <c r="B110" s="1">
        <v>9177</v>
      </c>
      <c r="C110" t="s">
        <v>4936</v>
      </c>
      <c r="D110" t="s">
        <v>4937</v>
      </c>
    </row>
    <row r="111" spans="1:4" x14ac:dyDescent="0.25">
      <c r="A111" s="3">
        <v>41018</v>
      </c>
      <c r="B111" s="1">
        <v>9182</v>
      </c>
      <c r="C111" t="s">
        <v>4936</v>
      </c>
      <c r="D111" t="s">
        <v>4937</v>
      </c>
    </row>
    <row r="112" spans="1:4" x14ac:dyDescent="0.25">
      <c r="A112" s="3">
        <v>41019</v>
      </c>
      <c r="B112" s="1">
        <v>9184</v>
      </c>
      <c r="C112" t="s">
        <v>4936</v>
      </c>
      <c r="D112" t="s">
        <v>4937</v>
      </c>
    </row>
    <row r="113" spans="1:4" x14ac:dyDescent="0.25">
      <c r="A113" s="3">
        <v>41020</v>
      </c>
      <c r="B113" s="1">
        <v>9184</v>
      </c>
      <c r="C113" t="s">
        <v>4936</v>
      </c>
      <c r="D113" t="s">
        <v>4937</v>
      </c>
    </row>
    <row r="114" spans="1:4" x14ac:dyDescent="0.25">
      <c r="A114" s="3">
        <v>41021</v>
      </c>
      <c r="B114" s="1">
        <v>9184</v>
      </c>
      <c r="C114" t="s">
        <v>4936</v>
      </c>
      <c r="D114" t="s">
        <v>4937</v>
      </c>
    </row>
    <row r="115" spans="1:4" x14ac:dyDescent="0.25">
      <c r="A115" s="3">
        <v>41022</v>
      </c>
      <c r="B115" s="1">
        <v>9184</v>
      </c>
      <c r="C115" t="s">
        <v>4936</v>
      </c>
      <c r="D115" t="s">
        <v>4937</v>
      </c>
    </row>
    <row r="116" spans="1:4" x14ac:dyDescent="0.25">
      <c r="A116" s="3">
        <v>41023</v>
      </c>
      <c r="B116" s="1">
        <v>9193</v>
      </c>
      <c r="C116" t="s">
        <v>4936</v>
      </c>
      <c r="D116" t="s">
        <v>4937</v>
      </c>
    </row>
    <row r="117" spans="1:4" x14ac:dyDescent="0.25">
      <c r="A117" s="3">
        <v>41024</v>
      </c>
      <c r="B117" s="1">
        <v>9194</v>
      </c>
      <c r="C117" t="s">
        <v>4936</v>
      </c>
      <c r="D117" t="s">
        <v>4937</v>
      </c>
    </row>
    <row r="118" spans="1:4" x14ac:dyDescent="0.25">
      <c r="A118" s="3">
        <v>41025</v>
      </c>
      <c r="B118" s="1">
        <v>9190</v>
      </c>
      <c r="C118" t="s">
        <v>4936</v>
      </c>
      <c r="D118" t="s">
        <v>4937</v>
      </c>
    </row>
    <row r="119" spans="1:4" x14ac:dyDescent="0.25">
      <c r="A119" s="3">
        <v>41026</v>
      </c>
      <c r="B119" s="1">
        <v>9190</v>
      </c>
      <c r="C119" t="s">
        <v>4936</v>
      </c>
      <c r="D119" t="s">
        <v>4937</v>
      </c>
    </row>
    <row r="120" spans="1:4" x14ac:dyDescent="0.25">
      <c r="A120" s="3">
        <v>41027</v>
      </c>
      <c r="B120" s="1">
        <v>9190</v>
      </c>
      <c r="C120" t="s">
        <v>4936</v>
      </c>
      <c r="D120" t="s">
        <v>4937</v>
      </c>
    </row>
    <row r="121" spans="1:4" x14ac:dyDescent="0.25">
      <c r="A121" s="3">
        <v>41028</v>
      </c>
      <c r="B121" s="1">
        <v>9190</v>
      </c>
      <c r="C121" t="s">
        <v>4936</v>
      </c>
      <c r="D121" t="s">
        <v>4937</v>
      </c>
    </row>
    <row r="122" spans="1:4" x14ac:dyDescent="0.25">
      <c r="A122" s="3">
        <v>41029</v>
      </c>
      <c r="B122" s="1">
        <v>9190</v>
      </c>
      <c r="C122" t="s">
        <v>4936</v>
      </c>
      <c r="D122" t="s">
        <v>4937</v>
      </c>
    </row>
    <row r="123" spans="1:4" x14ac:dyDescent="0.25">
      <c r="A123" s="3">
        <v>41030</v>
      </c>
      <c r="B123" s="1">
        <v>9193</v>
      </c>
      <c r="C123" t="s">
        <v>4938</v>
      </c>
      <c r="D123" t="s">
        <v>4937</v>
      </c>
    </row>
    <row r="124" spans="1:4" x14ac:dyDescent="0.25">
      <c r="A124" s="3">
        <v>41031</v>
      </c>
      <c r="B124" s="1">
        <v>9193</v>
      </c>
      <c r="C124" t="s">
        <v>4938</v>
      </c>
      <c r="D124" t="s">
        <v>4937</v>
      </c>
    </row>
    <row r="125" spans="1:4" x14ac:dyDescent="0.25">
      <c r="A125" s="3">
        <v>41032</v>
      </c>
      <c r="B125" s="1">
        <v>9196</v>
      </c>
      <c r="C125" t="s">
        <v>4938</v>
      </c>
      <c r="D125" t="s">
        <v>4937</v>
      </c>
    </row>
    <row r="126" spans="1:4" x14ac:dyDescent="0.25">
      <c r="A126" s="3">
        <v>41033</v>
      </c>
      <c r="B126" s="1">
        <v>9218</v>
      </c>
      <c r="C126" t="s">
        <v>4938</v>
      </c>
      <c r="D126" t="s">
        <v>4937</v>
      </c>
    </row>
    <row r="127" spans="1:4" x14ac:dyDescent="0.25">
      <c r="A127" s="3">
        <v>41034</v>
      </c>
      <c r="B127" s="1">
        <v>9218</v>
      </c>
      <c r="C127" t="s">
        <v>4938</v>
      </c>
      <c r="D127" t="s">
        <v>4937</v>
      </c>
    </row>
    <row r="128" spans="1:4" x14ac:dyDescent="0.25">
      <c r="A128" s="3">
        <v>41035</v>
      </c>
      <c r="B128" s="1">
        <v>9218</v>
      </c>
      <c r="C128" t="s">
        <v>4938</v>
      </c>
      <c r="D128" t="s">
        <v>4937</v>
      </c>
    </row>
    <row r="129" spans="1:4" x14ac:dyDescent="0.25">
      <c r="A129" s="3">
        <v>41036</v>
      </c>
      <c r="B129" s="1">
        <v>9225</v>
      </c>
      <c r="C129" t="s">
        <v>4938</v>
      </c>
      <c r="D129" t="s">
        <v>4937</v>
      </c>
    </row>
    <row r="130" spans="1:4" x14ac:dyDescent="0.25">
      <c r="A130" s="3">
        <v>41037</v>
      </c>
      <c r="B130" s="1">
        <v>9220</v>
      </c>
      <c r="C130" t="s">
        <v>4938</v>
      </c>
      <c r="D130" t="s">
        <v>4937</v>
      </c>
    </row>
    <row r="131" spans="1:4" x14ac:dyDescent="0.25">
      <c r="A131" s="3">
        <v>41038</v>
      </c>
      <c r="B131" s="1">
        <v>9225</v>
      </c>
      <c r="C131" t="s">
        <v>4938</v>
      </c>
      <c r="D131" t="s">
        <v>4937</v>
      </c>
    </row>
    <row r="132" spans="1:4" x14ac:dyDescent="0.25">
      <c r="A132" s="3">
        <v>41039</v>
      </c>
      <c r="B132" s="1">
        <v>9247</v>
      </c>
      <c r="C132" t="s">
        <v>4938</v>
      </c>
      <c r="D132" t="s">
        <v>4937</v>
      </c>
    </row>
    <row r="133" spans="1:4" x14ac:dyDescent="0.25">
      <c r="A133" s="3">
        <v>41040</v>
      </c>
      <c r="B133" s="1">
        <v>9180</v>
      </c>
      <c r="C133" t="s">
        <v>4938</v>
      </c>
      <c r="D133" t="s">
        <v>4937</v>
      </c>
    </row>
    <row r="134" spans="1:4" x14ac:dyDescent="0.25">
      <c r="A134" s="3">
        <v>41041</v>
      </c>
      <c r="B134" s="1">
        <v>9180</v>
      </c>
      <c r="C134" t="s">
        <v>4938</v>
      </c>
      <c r="D134" t="s">
        <v>4937</v>
      </c>
    </row>
    <row r="135" spans="1:4" x14ac:dyDescent="0.25">
      <c r="A135" s="3">
        <v>41042</v>
      </c>
      <c r="B135" s="1">
        <v>9180</v>
      </c>
      <c r="C135" t="s">
        <v>4938</v>
      </c>
      <c r="D135" t="s">
        <v>4937</v>
      </c>
    </row>
    <row r="136" spans="1:4" x14ac:dyDescent="0.25">
      <c r="A136" s="3">
        <v>41043</v>
      </c>
      <c r="B136" s="1">
        <v>9220</v>
      </c>
      <c r="C136" t="s">
        <v>4938</v>
      </c>
      <c r="D136" t="s">
        <v>4937</v>
      </c>
    </row>
    <row r="137" spans="1:4" x14ac:dyDescent="0.25">
      <c r="A137" s="3">
        <v>41044</v>
      </c>
      <c r="B137" s="1">
        <v>9265</v>
      </c>
      <c r="C137" t="s">
        <v>4938</v>
      </c>
      <c r="D137" t="s">
        <v>4937</v>
      </c>
    </row>
    <row r="138" spans="1:4" x14ac:dyDescent="0.25">
      <c r="A138" s="3">
        <v>41045</v>
      </c>
      <c r="B138" s="1">
        <v>9280</v>
      </c>
      <c r="C138" t="s">
        <v>4938</v>
      </c>
      <c r="D138" t="s">
        <v>4937</v>
      </c>
    </row>
    <row r="139" spans="1:4" x14ac:dyDescent="0.25">
      <c r="A139" s="3">
        <v>41046</v>
      </c>
      <c r="B139" s="1">
        <v>9280</v>
      </c>
      <c r="C139" t="s">
        <v>4938</v>
      </c>
      <c r="D139" t="s">
        <v>4937</v>
      </c>
    </row>
    <row r="140" spans="1:4" x14ac:dyDescent="0.25">
      <c r="A140" s="3">
        <v>41047</v>
      </c>
      <c r="B140" s="1">
        <v>9280</v>
      </c>
      <c r="C140" t="s">
        <v>4938</v>
      </c>
      <c r="D140" t="s">
        <v>4937</v>
      </c>
    </row>
    <row r="141" spans="1:4" x14ac:dyDescent="0.25">
      <c r="A141" s="3">
        <v>41048</v>
      </c>
      <c r="B141" s="1">
        <v>9280</v>
      </c>
      <c r="C141" t="s">
        <v>4938</v>
      </c>
      <c r="D141" t="s">
        <v>4937</v>
      </c>
    </row>
    <row r="142" spans="1:4" x14ac:dyDescent="0.25">
      <c r="A142" s="3">
        <v>41049</v>
      </c>
      <c r="B142" s="1">
        <v>9280</v>
      </c>
      <c r="C142" t="s">
        <v>4938</v>
      </c>
      <c r="D142" t="s">
        <v>4937</v>
      </c>
    </row>
    <row r="143" spans="1:4" x14ac:dyDescent="0.25">
      <c r="A143" s="3">
        <v>41050</v>
      </c>
      <c r="B143" s="1">
        <v>9268</v>
      </c>
      <c r="C143" t="s">
        <v>4938</v>
      </c>
      <c r="D143" t="s">
        <v>4937</v>
      </c>
    </row>
    <row r="144" spans="1:4" x14ac:dyDescent="0.25">
      <c r="A144" s="3">
        <v>41051</v>
      </c>
      <c r="B144" s="1">
        <v>9265</v>
      </c>
      <c r="C144" t="s">
        <v>4938</v>
      </c>
      <c r="D144" t="s">
        <v>4937</v>
      </c>
    </row>
    <row r="145" spans="1:4" x14ac:dyDescent="0.25">
      <c r="A145" s="3">
        <v>41052</v>
      </c>
      <c r="B145" s="1">
        <v>9275</v>
      </c>
      <c r="C145" t="s">
        <v>4938</v>
      </c>
      <c r="D145" t="s">
        <v>4937</v>
      </c>
    </row>
    <row r="146" spans="1:4" x14ac:dyDescent="0.25">
      <c r="A146" s="3">
        <v>41053</v>
      </c>
      <c r="B146" s="1">
        <v>9280</v>
      </c>
      <c r="C146" t="s">
        <v>4938</v>
      </c>
      <c r="D146" t="s">
        <v>4937</v>
      </c>
    </row>
    <row r="147" spans="1:4" x14ac:dyDescent="0.25">
      <c r="A147" s="3">
        <v>41054</v>
      </c>
      <c r="B147" s="1">
        <v>9310</v>
      </c>
      <c r="C147" t="s">
        <v>4938</v>
      </c>
      <c r="D147" t="s">
        <v>4937</v>
      </c>
    </row>
    <row r="148" spans="1:4" x14ac:dyDescent="0.25">
      <c r="A148" s="3">
        <v>41055</v>
      </c>
      <c r="B148" s="1">
        <v>9310</v>
      </c>
      <c r="C148" t="s">
        <v>4938</v>
      </c>
      <c r="D148" t="s">
        <v>4937</v>
      </c>
    </row>
    <row r="149" spans="1:4" x14ac:dyDescent="0.25">
      <c r="A149" s="3">
        <v>41056</v>
      </c>
      <c r="B149" s="1">
        <v>9310</v>
      </c>
      <c r="C149" t="s">
        <v>4938</v>
      </c>
      <c r="D149" t="s">
        <v>4937</v>
      </c>
    </row>
    <row r="150" spans="1:4" x14ac:dyDescent="0.25">
      <c r="A150" s="3">
        <v>41057</v>
      </c>
      <c r="B150" s="1">
        <v>9425</v>
      </c>
      <c r="C150" t="s">
        <v>4938</v>
      </c>
      <c r="D150" t="s">
        <v>4937</v>
      </c>
    </row>
    <row r="151" spans="1:4" x14ac:dyDescent="0.25">
      <c r="A151" s="3">
        <v>41058</v>
      </c>
      <c r="B151" s="1">
        <v>9475</v>
      </c>
      <c r="C151" t="s">
        <v>4938</v>
      </c>
      <c r="D151" t="s">
        <v>4937</v>
      </c>
    </row>
    <row r="152" spans="1:4" x14ac:dyDescent="0.25">
      <c r="A152" s="3">
        <v>41059</v>
      </c>
      <c r="B152" s="1">
        <v>9570</v>
      </c>
      <c r="C152" t="s">
        <v>4938</v>
      </c>
      <c r="D152" t="s">
        <v>4937</v>
      </c>
    </row>
    <row r="153" spans="1:4" x14ac:dyDescent="0.25">
      <c r="A153" s="3">
        <v>41060</v>
      </c>
      <c r="B153" s="1">
        <v>9565</v>
      </c>
      <c r="C153" t="s">
        <v>4938</v>
      </c>
      <c r="D153" t="s">
        <v>4937</v>
      </c>
    </row>
    <row r="154" spans="1:4" x14ac:dyDescent="0.25">
      <c r="A154" s="3">
        <v>41061</v>
      </c>
      <c r="B154" s="1">
        <v>9333</v>
      </c>
      <c r="C154" t="s">
        <v>4939</v>
      </c>
      <c r="D154" t="s">
        <v>4937</v>
      </c>
    </row>
    <row r="155" spans="1:4" x14ac:dyDescent="0.25">
      <c r="A155" s="3">
        <v>41062</v>
      </c>
      <c r="B155" s="1">
        <v>9333</v>
      </c>
      <c r="C155" t="s">
        <v>4939</v>
      </c>
      <c r="D155" t="s">
        <v>4937</v>
      </c>
    </row>
    <row r="156" spans="1:4" x14ac:dyDescent="0.25">
      <c r="A156" s="3">
        <v>41063</v>
      </c>
      <c r="B156" s="1">
        <v>9333</v>
      </c>
      <c r="C156" t="s">
        <v>4939</v>
      </c>
      <c r="D156" t="s">
        <v>4937</v>
      </c>
    </row>
    <row r="157" spans="1:4" x14ac:dyDescent="0.25">
      <c r="A157" s="3">
        <v>41064</v>
      </c>
      <c r="B157" s="1">
        <v>9463</v>
      </c>
      <c r="C157" t="s">
        <v>4939</v>
      </c>
      <c r="D157" t="s">
        <v>4937</v>
      </c>
    </row>
    <row r="158" spans="1:4" x14ac:dyDescent="0.25">
      <c r="A158" s="3">
        <v>41065</v>
      </c>
      <c r="B158" s="1">
        <v>9463</v>
      </c>
      <c r="C158" t="s">
        <v>4939</v>
      </c>
      <c r="D158" t="s">
        <v>4937</v>
      </c>
    </row>
    <row r="159" spans="1:4" x14ac:dyDescent="0.25">
      <c r="A159" s="3">
        <v>41066</v>
      </c>
      <c r="B159" s="1">
        <v>9465</v>
      </c>
      <c r="C159" t="s">
        <v>4939</v>
      </c>
      <c r="D159" t="s">
        <v>4937</v>
      </c>
    </row>
    <row r="160" spans="1:4" x14ac:dyDescent="0.25">
      <c r="A160" s="3">
        <v>41067</v>
      </c>
      <c r="B160" s="1">
        <v>9375</v>
      </c>
      <c r="C160" t="s">
        <v>4939</v>
      </c>
      <c r="D160" t="s">
        <v>4937</v>
      </c>
    </row>
    <row r="161" spans="1:4" x14ac:dyDescent="0.25">
      <c r="A161" s="3">
        <v>41068</v>
      </c>
      <c r="B161" s="1">
        <v>9433</v>
      </c>
      <c r="C161" t="s">
        <v>4939</v>
      </c>
      <c r="D161" t="s">
        <v>4937</v>
      </c>
    </row>
    <row r="162" spans="1:4" x14ac:dyDescent="0.25">
      <c r="A162" s="3">
        <v>41069</v>
      </c>
      <c r="B162" s="1">
        <v>9433</v>
      </c>
      <c r="C162" t="s">
        <v>4939</v>
      </c>
      <c r="D162" t="s">
        <v>4937</v>
      </c>
    </row>
    <row r="163" spans="1:4" x14ac:dyDescent="0.25">
      <c r="A163" s="3">
        <v>41070</v>
      </c>
      <c r="B163" s="1">
        <v>9433</v>
      </c>
      <c r="C163" t="s">
        <v>4939</v>
      </c>
      <c r="D163" t="s">
        <v>4937</v>
      </c>
    </row>
    <row r="164" spans="1:4" x14ac:dyDescent="0.25">
      <c r="A164" s="3">
        <v>41071</v>
      </c>
      <c r="B164" s="1">
        <v>9433</v>
      </c>
      <c r="C164" t="s">
        <v>4939</v>
      </c>
      <c r="D164" t="s">
        <v>4937</v>
      </c>
    </row>
    <row r="165" spans="1:4" x14ac:dyDescent="0.25">
      <c r="A165" s="3">
        <v>41072</v>
      </c>
      <c r="B165" s="1">
        <v>9448</v>
      </c>
      <c r="C165" t="s">
        <v>4939</v>
      </c>
      <c r="D165" t="s">
        <v>4937</v>
      </c>
    </row>
    <row r="166" spans="1:4" x14ac:dyDescent="0.25">
      <c r="A166" s="3">
        <v>41073</v>
      </c>
      <c r="B166" s="1">
        <v>9455</v>
      </c>
      <c r="C166" t="s">
        <v>4939</v>
      </c>
      <c r="D166" t="s">
        <v>4937</v>
      </c>
    </row>
    <row r="167" spans="1:4" x14ac:dyDescent="0.25">
      <c r="A167" s="3">
        <v>41074</v>
      </c>
      <c r="B167" s="1">
        <v>9468</v>
      </c>
      <c r="C167" t="s">
        <v>4939</v>
      </c>
      <c r="D167" t="s">
        <v>4937</v>
      </c>
    </row>
    <row r="168" spans="1:4" x14ac:dyDescent="0.25">
      <c r="A168" s="3">
        <v>41075</v>
      </c>
      <c r="B168" s="1">
        <v>9468</v>
      </c>
      <c r="C168" t="s">
        <v>4939</v>
      </c>
      <c r="D168" t="s">
        <v>4937</v>
      </c>
    </row>
    <row r="169" spans="1:4" x14ac:dyDescent="0.25">
      <c r="A169" s="3">
        <v>41076</v>
      </c>
      <c r="B169" s="1">
        <v>9468</v>
      </c>
      <c r="C169" t="s">
        <v>4939</v>
      </c>
      <c r="D169" t="s">
        <v>4937</v>
      </c>
    </row>
    <row r="170" spans="1:4" x14ac:dyDescent="0.25">
      <c r="A170" s="3">
        <v>41077</v>
      </c>
      <c r="B170" s="1">
        <v>9468</v>
      </c>
      <c r="C170" t="s">
        <v>4939</v>
      </c>
      <c r="D170" t="s">
        <v>4937</v>
      </c>
    </row>
    <row r="171" spans="1:4" x14ac:dyDescent="0.25">
      <c r="A171" s="3">
        <v>41078</v>
      </c>
      <c r="B171" s="1">
        <v>9438</v>
      </c>
      <c r="C171" t="s">
        <v>4939</v>
      </c>
      <c r="D171" t="s">
        <v>4937</v>
      </c>
    </row>
    <row r="172" spans="1:4" x14ac:dyDescent="0.25">
      <c r="A172" s="3">
        <v>41079</v>
      </c>
      <c r="B172" s="1">
        <v>9438</v>
      </c>
      <c r="C172" t="s">
        <v>4939</v>
      </c>
      <c r="D172" t="s">
        <v>4937</v>
      </c>
    </row>
    <row r="173" spans="1:4" x14ac:dyDescent="0.25">
      <c r="A173" s="3">
        <v>41080</v>
      </c>
      <c r="B173" s="1">
        <v>9463</v>
      </c>
      <c r="C173" t="s">
        <v>4939</v>
      </c>
      <c r="D173" t="s">
        <v>4937</v>
      </c>
    </row>
    <row r="174" spans="1:4" x14ac:dyDescent="0.25">
      <c r="A174" s="3">
        <v>41081</v>
      </c>
      <c r="B174" s="1">
        <v>9473</v>
      </c>
      <c r="C174" t="s">
        <v>4939</v>
      </c>
      <c r="D174" t="s">
        <v>4937</v>
      </c>
    </row>
    <row r="175" spans="1:4" x14ac:dyDescent="0.25">
      <c r="A175" s="3">
        <v>41082</v>
      </c>
      <c r="B175" s="1">
        <v>9473</v>
      </c>
      <c r="C175" t="s">
        <v>4939</v>
      </c>
      <c r="D175" t="s">
        <v>4937</v>
      </c>
    </row>
    <row r="176" spans="1:4" x14ac:dyDescent="0.25">
      <c r="A176" s="3">
        <v>41083</v>
      </c>
      <c r="B176" s="1">
        <v>9473</v>
      </c>
      <c r="C176" t="s">
        <v>4939</v>
      </c>
      <c r="D176" t="s">
        <v>4937</v>
      </c>
    </row>
    <row r="177" spans="1:4" x14ac:dyDescent="0.25">
      <c r="A177" s="3">
        <v>41084</v>
      </c>
      <c r="B177" s="1">
        <v>9473</v>
      </c>
      <c r="C177" t="s">
        <v>4939</v>
      </c>
      <c r="D177" t="s">
        <v>4937</v>
      </c>
    </row>
    <row r="178" spans="1:4" x14ac:dyDescent="0.25">
      <c r="A178" s="3">
        <v>41085</v>
      </c>
      <c r="B178" s="1">
        <v>9480</v>
      </c>
      <c r="C178" t="s">
        <v>4939</v>
      </c>
      <c r="D178" t="s">
        <v>4937</v>
      </c>
    </row>
    <row r="179" spans="1:4" x14ac:dyDescent="0.25">
      <c r="A179" s="3">
        <v>41086</v>
      </c>
      <c r="B179" s="1">
        <v>9470</v>
      </c>
      <c r="C179" t="s">
        <v>4939</v>
      </c>
      <c r="D179" t="s">
        <v>4937</v>
      </c>
    </row>
    <row r="180" spans="1:4" x14ac:dyDescent="0.25">
      <c r="A180" s="3">
        <v>41087</v>
      </c>
      <c r="B180" s="1">
        <v>9475</v>
      </c>
      <c r="C180" t="s">
        <v>4939</v>
      </c>
      <c r="D180" t="s">
        <v>4937</v>
      </c>
    </row>
    <row r="181" spans="1:4" x14ac:dyDescent="0.25">
      <c r="A181" s="3">
        <v>41088</v>
      </c>
      <c r="B181" s="1">
        <v>9480</v>
      </c>
      <c r="C181" t="s">
        <v>4939</v>
      </c>
      <c r="D181" t="s">
        <v>4937</v>
      </c>
    </row>
    <row r="182" spans="1:4" x14ac:dyDescent="0.25">
      <c r="A182" s="3">
        <v>41089</v>
      </c>
      <c r="B182" s="1">
        <v>9480</v>
      </c>
      <c r="C182" t="s">
        <v>4939</v>
      </c>
      <c r="D182" t="s">
        <v>4937</v>
      </c>
    </row>
    <row r="183" spans="1:4" x14ac:dyDescent="0.25">
      <c r="A183" s="3">
        <v>41090</v>
      </c>
      <c r="B183" s="1">
        <v>9480</v>
      </c>
      <c r="C183" t="s">
        <v>4939</v>
      </c>
      <c r="D183" t="s">
        <v>4937</v>
      </c>
    </row>
    <row r="184" spans="1:4" x14ac:dyDescent="0.25">
      <c r="A184" s="3">
        <v>41091</v>
      </c>
      <c r="B184" s="1">
        <v>9480</v>
      </c>
      <c r="C184" t="s">
        <v>4940</v>
      </c>
      <c r="D184" t="s">
        <v>4941</v>
      </c>
    </row>
    <row r="185" spans="1:4" x14ac:dyDescent="0.25">
      <c r="A185" s="3">
        <v>41092</v>
      </c>
      <c r="B185" s="1">
        <v>9401</v>
      </c>
      <c r="C185" t="s">
        <v>4940</v>
      </c>
      <c r="D185" t="s">
        <v>4941</v>
      </c>
    </row>
    <row r="186" spans="1:4" x14ac:dyDescent="0.25">
      <c r="A186" s="3">
        <v>41093</v>
      </c>
      <c r="B186" s="1">
        <v>9428</v>
      </c>
      <c r="C186" t="s">
        <v>4940</v>
      </c>
      <c r="D186" t="s">
        <v>4941</v>
      </c>
    </row>
    <row r="187" spans="1:4" x14ac:dyDescent="0.25">
      <c r="A187" s="3">
        <v>41094</v>
      </c>
      <c r="B187" s="1">
        <v>9365</v>
      </c>
      <c r="C187" t="s">
        <v>4940</v>
      </c>
      <c r="D187" t="s">
        <v>4941</v>
      </c>
    </row>
    <row r="188" spans="1:4" x14ac:dyDescent="0.25">
      <c r="A188" s="3">
        <v>41095</v>
      </c>
      <c r="B188" s="1">
        <v>9383</v>
      </c>
      <c r="C188" t="s">
        <v>4940</v>
      </c>
      <c r="D188" t="s">
        <v>4941</v>
      </c>
    </row>
    <row r="189" spans="1:4" x14ac:dyDescent="0.25">
      <c r="A189" s="3">
        <v>41096</v>
      </c>
      <c r="B189" s="1">
        <v>9403</v>
      </c>
      <c r="C189" t="s">
        <v>4940</v>
      </c>
      <c r="D189" t="s">
        <v>4941</v>
      </c>
    </row>
    <row r="190" spans="1:4" x14ac:dyDescent="0.25">
      <c r="A190" s="3">
        <v>41097</v>
      </c>
      <c r="B190" s="1">
        <v>9403</v>
      </c>
      <c r="C190" t="s">
        <v>4940</v>
      </c>
      <c r="D190" t="s">
        <v>4941</v>
      </c>
    </row>
    <row r="191" spans="1:4" x14ac:dyDescent="0.25">
      <c r="A191" s="3">
        <v>41098</v>
      </c>
      <c r="B191" s="1">
        <v>9403</v>
      </c>
      <c r="C191" t="s">
        <v>4940</v>
      </c>
      <c r="D191" t="s">
        <v>4941</v>
      </c>
    </row>
    <row r="192" spans="1:4" x14ac:dyDescent="0.25">
      <c r="A192" s="3">
        <v>41099</v>
      </c>
      <c r="B192" s="1">
        <v>9438</v>
      </c>
      <c r="C192" t="s">
        <v>4940</v>
      </c>
      <c r="D192" t="s">
        <v>4941</v>
      </c>
    </row>
    <row r="193" spans="1:4" x14ac:dyDescent="0.25">
      <c r="A193" s="3">
        <v>41100</v>
      </c>
      <c r="B193" s="1">
        <v>9443</v>
      </c>
      <c r="C193" t="s">
        <v>4940</v>
      </c>
      <c r="D193" t="s">
        <v>4941</v>
      </c>
    </row>
    <row r="194" spans="1:4" x14ac:dyDescent="0.25">
      <c r="A194" s="3">
        <v>41101</v>
      </c>
      <c r="B194" s="1">
        <v>9460</v>
      </c>
      <c r="C194" t="s">
        <v>4940</v>
      </c>
      <c r="D194" t="s">
        <v>4941</v>
      </c>
    </row>
    <row r="195" spans="1:4" x14ac:dyDescent="0.25">
      <c r="A195" s="3">
        <v>41102</v>
      </c>
      <c r="B195" s="1">
        <v>9462</v>
      </c>
      <c r="C195" t="s">
        <v>4940</v>
      </c>
      <c r="D195" t="s">
        <v>4941</v>
      </c>
    </row>
    <row r="196" spans="1:4" x14ac:dyDescent="0.25">
      <c r="A196" s="3">
        <v>41103</v>
      </c>
      <c r="B196" s="1">
        <v>9480</v>
      </c>
      <c r="C196" t="s">
        <v>4940</v>
      </c>
      <c r="D196" t="s">
        <v>4941</v>
      </c>
    </row>
    <row r="197" spans="1:4" x14ac:dyDescent="0.25">
      <c r="A197" s="3">
        <v>41104</v>
      </c>
      <c r="B197" s="1">
        <v>9480</v>
      </c>
      <c r="C197" t="s">
        <v>4940</v>
      </c>
      <c r="D197" t="s">
        <v>4941</v>
      </c>
    </row>
    <row r="198" spans="1:4" x14ac:dyDescent="0.25">
      <c r="A198" s="3">
        <v>41105</v>
      </c>
      <c r="B198" s="1">
        <v>9480</v>
      </c>
      <c r="C198" t="s">
        <v>4940</v>
      </c>
      <c r="D198" t="s">
        <v>4941</v>
      </c>
    </row>
    <row r="199" spans="1:4" x14ac:dyDescent="0.25">
      <c r="A199" s="3">
        <v>41106</v>
      </c>
      <c r="B199" s="1">
        <v>9478</v>
      </c>
      <c r="C199" t="s">
        <v>4940</v>
      </c>
      <c r="D199" t="s">
        <v>4941</v>
      </c>
    </row>
    <row r="200" spans="1:4" x14ac:dyDescent="0.25">
      <c r="A200" s="3">
        <v>41107</v>
      </c>
      <c r="B200" s="1">
        <v>9474</v>
      </c>
      <c r="C200" t="s">
        <v>4940</v>
      </c>
      <c r="D200" t="s">
        <v>4941</v>
      </c>
    </row>
    <row r="201" spans="1:4" x14ac:dyDescent="0.25">
      <c r="A201" s="3">
        <v>41108</v>
      </c>
      <c r="B201" s="1">
        <v>9463</v>
      </c>
      <c r="C201" t="s">
        <v>4940</v>
      </c>
      <c r="D201" t="s">
        <v>4941</v>
      </c>
    </row>
    <row r="202" spans="1:4" x14ac:dyDescent="0.25">
      <c r="A202" s="3">
        <v>41109</v>
      </c>
      <c r="B202" s="1">
        <v>9470</v>
      </c>
      <c r="C202" t="s">
        <v>4940</v>
      </c>
      <c r="D202" t="s">
        <v>4941</v>
      </c>
    </row>
    <row r="203" spans="1:4" x14ac:dyDescent="0.25">
      <c r="A203" s="3">
        <v>41110</v>
      </c>
      <c r="B203" s="1">
        <v>9478</v>
      </c>
      <c r="C203" t="s">
        <v>4940</v>
      </c>
      <c r="D203" t="s">
        <v>4941</v>
      </c>
    </row>
    <row r="204" spans="1:4" x14ac:dyDescent="0.25">
      <c r="A204" s="3">
        <v>41111</v>
      </c>
      <c r="B204" s="1">
        <v>9478</v>
      </c>
      <c r="C204" t="s">
        <v>4940</v>
      </c>
      <c r="D204" t="s">
        <v>4941</v>
      </c>
    </row>
    <row r="205" spans="1:4" x14ac:dyDescent="0.25">
      <c r="A205" s="3">
        <v>41112</v>
      </c>
      <c r="B205" s="1">
        <v>9478</v>
      </c>
      <c r="C205" t="s">
        <v>4940</v>
      </c>
      <c r="D205" t="s">
        <v>4941</v>
      </c>
    </row>
    <row r="206" spans="1:4" x14ac:dyDescent="0.25">
      <c r="A206" s="3">
        <v>41113</v>
      </c>
      <c r="B206" s="1">
        <v>9493</v>
      </c>
      <c r="C206" t="s">
        <v>4940</v>
      </c>
      <c r="D206" t="s">
        <v>4941</v>
      </c>
    </row>
    <row r="207" spans="1:4" x14ac:dyDescent="0.25">
      <c r="A207" s="3">
        <v>41114</v>
      </c>
      <c r="B207" s="1">
        <v>9488</v>
      </c>
      <c r="C207" t="s">
        <v>4940</v>
      </c>
      <c r="D207" t="s">
        <v>4941</v>
      </c>
    </row>
    <row r="208" spans="1:4" x14ac:dyDescent="0.25">
      <c r="A208" s="3">
        <v>41115</v>
      </c>
      <c r="B208" s="1">
        <v>9490</v>
      </c>
      <c r="C208" t="s">
        <v>4940</v>
      </c>
      <c r="D208" t="s">
        <v>4941</v>
      </c>
    </row>
    <row r="209" spans="1:4" x14ac:dyDescent="0.25">
      <c r="A209" s="3">
        <v>41116</v>
      </c>
      <c r="B209" s="1">
        <v>9493</v>
      </c>
      <c r="C209" t="s">
        <v>4940</v>
      </c>
      <c r="D209" t="s">
        <v>4941</v>
      </c>
    </row>
    <row r="210" spans="1:4" x14ac:dyDescent="0.25">
      <c r="A210" s="3">
        <v>41117</v>
      </c>
      <c r="B210" s="1">
        <v>9485</v>
      </c>
      <c r="C210" t="s">
        <v>4940</v>
      </c>
      <c r="D210" t="s">
        <v>4941</v>
      </c>
    </row>
    <row r="211" spans="1:4" x14ac:dyDescent="0.25">
      <c r="A211" s="3">
        <v>41118</v>
      </c>
      <c r="B211" s="1">
        <v>9485</v>
      </c>
      <c r="C211" t="s">
        <v>4940</v>
      </c>
      <c r="D211" t="s">
        <v>4941</v>
      </c>
    </row>
    <row r="212" spans="1:4" x14ac:dyDescent="0.25">
      <c r="A212" s="3">
        <v>41119</v>
      </c>
      <c r="B212" s="1">
        <v>9485</v>
      </c>
      <c r="C212" t="s">
        <v>4940</v>
      </c>
      <c r="D212" t="s">
        <v>4941</v>
      </c>
    </row>
    <row r="213" spans="1:4" x14ac:dyDescent="0.25">
      <c r="A213" s="3">
        <v>41120</v>
      </c>
      <c r="B213" s="1">
        <v>9485</v>
      </c>
      <c r="C213" t="s">
        <v>4940</v>
      </c>
      <c r="D213" t="s">
        <v>4941</v>
      </c>
    </row>
    <row r="214" spans="1:4" x14ac:dyDescent="0.25">
      <c r="A214" s="3">
        <v>41121</v>
      </c>
      <c r="B214" s="1">
        <v>9485</v>
      </c>
      <c r="C214" t="s">
        <v>4940</v>
      </c>
      <c r="D214" t="s">
        <v>4941</v>
      </c>
    </row>
    <row r="215" spans="1:4" x14ac:dyDescent="0.25">
      <c r="A215" s="3">
        <v>41122</v>
      </c>
      <c r="B215" s="1">
        <v>9468</v>
      </c>
      <c r="C215" t="s">
        <v>4942</v>
      </c>
      <c r="D215" t="s">
        <v>4941</v>
      </c>
    </row>
    <row r="216" spans="1:4" x14ac:dyDescent="0.25">
      <c r="A216" s="3">
        <v>41123</v>
      </c>
      <c r="B216" s="1">
        <v>9479</v>
      </c>
      <c r="C216" t="s">
        <v>4942</v>
      </c>
      <c r="D216" t="s">
        <v>4941</v>
      </c>
    </row>
    <row r="217" spans="1:4" x14ac:dyDescent="0.25">
      <c r="A217" s="3">
        <v>41124</v>
      </c>
      <c r="B217" s="1">
        <v>9485</v>
      </c>
      <c r="C217" t="s">
        <v>4942</v>
      </c>
      <c r="D217" t="s">
        <v>4941</v>
      </c>
    </row>
    <row r="218" spans="1:4" x14ac:dyDescent="0.25">
      <c r="A218" s="3">
        <v>41125</v>
      </c>
      <c r="B218" s="1">
        <v>9485</v>
      </c>
      <c r="C218" t="s">
        <v>4942</v>
      </c>
      <c r="D218" t="s">
        <v>4941</v>
      </c>
    </row>
    <row r="219" spans="1:4" x14ac:dyDescent="0.25">
      <c r="A219" s="3">
        <v>41126</v>
      </c>
      <c r="B219" s="1">
        <v>9485</v>
      </c>
      <c r="C219" t="s">
        <v>4942</v>
      </c>
      <c r="D219" t="s">
        <v>4941</v>
      </c>
    </row>
    <row r="220" spans="1:4" x14ac:dyDescent="0.25">
      <c r="A220" s="3">
        <v>41127</v>
      </c>
      <c r="B220" s="1">
        <v>9461</v>
      </c>
      <c r="C220" t="s">
        <v>4942</v>
      </c>
      <c r="D220" t="s">
        <v>4941</v>
      </c>
    </row>
    <row r="221" spans="1:4" x14ac:dyDescent="0.25">
      <c r="A221" s="3">
        <v>41128</v>
      </c>
      <c r="B221" s="1">
        <v>9472</v>
      </c>
      <c r="C221" t="s">
        <v>4942</v>
      </c>
      <c r="D221" t="s">
        <v>4941</v>
      </c>
    </row>
    <row r="222" spans="1:4" x14ac:dyDescent="0.25">
      <c r="A222" s="3">
        <v>41129</v>
      </c>
      <c r="B222" s="1">
        <v>9475</v>
      </c>
      <c r="C222" t="s">
        <v>4942</v>
      </c>
      <c r="D222" t="s">
        <v>4941</v>
      </c>
    </row>
    <row r="223" spans="1:4" x14ac:dyDescent="0.25">
      <c r="A223" s="3">
        <v>41130</v>
      </c>
      <c r="B223" s="1">
        <v>9483</v>
      </c>
      <c r="C223" t="s">
        <v>4942</v>
      </c>
      <c r="D223" t="s">
        <v>4941</v>
      </c>
    </row>
    <row r="224" spans="1:4" x14ac:dyDescent="0.25">
      <c r="A224" s="3">
        <v>41131</v>
      </c>
      <c r="B224" s="1">
        <v>9477</v>
      </c>
      <c r="C224" t="s">
        <v>4942</v>
      </c>
      <c r="D224" t="s">
        <v>4941</v>
      </c>
    </row>
    <row r="225" spans="1:4" x14ac:dyDescent="0.25">
      <c r="A225" s="3">
        <v>41132</v>
      </c>
      <c r="B225" s="1">
        <v>9477</v>
      </c>
      <c r="C225" t="s">
        <v>4942</v>
      </c>
      <c r="D225" t="s">
        <v>4941</v>
      </c>
    </row>
    <row r="226" spans="1:4" x14ac:dyDescent="0.25">
      <c r="A226" s="3">
        <v>41133</v>
      </c>
      <c r="B226" s="1">
        <v>9477</v>
      </c>
      <c r="C226" t="s">
        <v>4942</v>
      </c>
      <c r="D226" t="s">
        <v>4941</v>
      </c>
    </row>
    <row r="227" spans="1:4" x14ac:dyDescent="0.25">
      <c r="A227" s="3">
        <v>41134</v>
      </c>
      <c r="B227" s="1">
        <v>9480</v>
      </c>
      <c r="C227" t="s">
        <v>4942</v>
      </c>
      <c r="D227" t="s">
        <v>4941</v>
      </c>
    </row>
    <row r="228" spans="1:4" x14ac:dyDescent="0.25">
      <c r="A228" s="3">
        <v>41135</v>
      </c>
      <c r="B228" s="1">
        <v>9490</v>
      </c>
      <c r="C228" t="s">
        <v>4942</v>
      </c>
      <c r="D228" t="s">
        <v>4941</v>
      </c>
    </row>
    <row r="229" spans="1:4" x14ac:dyDescent="0.25">
      <c r="A229" s="3">
        <v>41136</v>
      </c>
      <c r="B229" s="1">
        <v>9494</v>
      </c>
      <c r="C229" t="s">
        <v>4942</v>
      </c>
      <c r="D229" t="s">
        <v>4941</v>
      </c>
    </row>
    <row r="230" spans="1:4" x14ac:dyDescent="0.25">
      <c r="A230" s="3">
        <v>41137</v>
      </c>
      <c r="B230" s="1">
        <v>9498</v>
      </c>
      <c r="C230" t="s">
        <v>4942</v>
      </c>
      <c r="D230" t="s">
        <v>4941</v>
      </c>
    </row>
    <row r="231" spans="1:4" x14ac:dyDescent="0.25">
      <c r="A231" s="3">
        <v>41138</v>
      </c>
      <c r="B231" s="1">
        <v>9498</v>
      </c>
      <c r="C231" t="s">
        <v>4942</v>
      </c>
      <c r="D231" t="s">
        <v>4941</v>
      </c>
    </row>
    <row r="232" spans="1:4" x14ac:dyDescent="0.25">
      <c r="A232" s="3">
        <v>41139</v>
      </c>
      <c r="B232" s="1">
        <v>9498</v>
      </c>
      <c r="C232" t="s">
        <v>4942</v>
      </c>
      <c r="D232" t="s">
        <v>4941</v>
      </c>
    </row>
    <row r="233" spans="1:4" x14ac:dyDescent="0.25">
      <c r="A233" s="3">
        <v>41140</v>
      </c>
      <c r="B233" s="1">
        <v>9498</v>
      </c>
      <c r="C233" t="s">
        <v>4942</v>
      </c>
      <c r="D233" t="s">
        <v>4941</v>
      </c>
    </row>
    <row r="234" spans="1:4" x14ac:dyDescent="0.25">
      <c r="A234" s="3">
        <v>41141</v>
      </c>
      <c r="B234" s="1">
        <v>9498</v>
      </c>
      <c r="C234" t="s">
        <v>4942</v>
      </c>
      <c r="D234" t="s">
        <v>4941</v>
      </c>
    </row>
    <row r="235" spans="1:4" x14ac:dyDescent="0.25">
      <c r="A235" s="3">
        <v>41142</v>
      </c>
      <c r="B235" s="1">
        <v>9498</v>
      </c>
      <c r="C235" t="s">
        <v>4942</v>
      </c>
      <c r="D235" t="s">
        <v>4941</v>
      </c>
    </row>
    <row r="236" spans="1:4" x14ac:dyDescent="0.25">
      <c r="A236" s="3">
        <v>41143</v>
      </c>
      <c r="B236" s="1">
        <v>9498</v>
      </c>
      <c r="C236" t="s">
        <v>4942</v>
      </c>
      <c r="D236" t="s">
        <v>4941</v>
      </c>
    </row>
    <row r="237" spans="1:4" x14ac:dyDescent="0.25">
      <c r="A237" s="3">
        <v>41144</v>
      </c>
      <c r="B237" s="1">
        <v>9495</v>
      </c>
      <c r="C237" t="s">
        <v>4942</v>
      </c>
      <c r="D237" t="s">
        <v>4941</v>
      </c>
    </row>
    <row r="238" spans="1:4" x14ac:dyDescent="0.25">
      <c r="A238" s="3">
        <v>41145</v>
      </c>
      <c r="B238" s="1">
        <v>9504</v>
      </c>
      <c r="C238" t="s">
        <v>4942</v>
      </c>
      <c r="D238" t="s">
        <v>4941</v>
      </c>
    </row>
    <row r="239" spans="1:4" x14ac:dyDescent="0.25">
      <c r="A239" s="3">
        <v>41146</v>
      </c>
      <c r="B239" s="1">
        <v>9504</v>
      </c>
      <c r="C239" t="s">
        <v>4942</v>
      </c>
      <c r="D239" t="s">
        <v>4941</v>
      </c>
    </row>
    <row r="240" spans="1:4" x14ac:dyDescent="0.25">
      <c r="A240" s="3">
        <v>41147</v>
      </c>
      <c r="B240" s="1">
        <v>9504</v>
      </c>
      <c r="C240" t="s">
        <v>4942</v>
      </c>
      <c r="D240" t="s">
        <v>4941</v>
      </c>
    </row>
    <row r="241" spans="1:4" x14ac:dyDescent="0.25">
      <c r="A241" s="3">
        <v>41148</v>
      </c>
      <c r="B241" s="1">
        <v>9515</v>
      </c>
      <c r="C241" t="s">
        <v>4942</v>
      </c>
      <c r="D241" t="s">
        <v>4941</v>
      </c>
    </row>
    <row r="242" spans="1:4" x14ac:dyDescent="0.25">
      <c r="A242" s="3">
        <v>41149</v>
      </c>
      <c r="B242" s="1">
        <v>9535</v>
      </c>
      <c r="C242" t="s">
        <v>4942</v>
      </c>
      <c r="D242" t="s">
        <v>4941</v>
      </c>
    </row>
    <row r="243" spans="1:4" x14ac:dyDescent="0.25">
      <c r="A243" s="3">
        <v>41150</v>
      </c>
      <c r="B243" s="1">
        <v>9553</v>
      </c>
      <c r="C243" t="s">
        <v>4942</v>
      </c>
      <c r="D243" t="s">
        <v>4941</v>
      </c>
    </row>
    <row r="244" spans="1:4" x14ac:dyDescent="0.25">
      <c r="A244" s="3">
        <v>41151</v>
      </c>
      <c r="B244" s="1">
        <v>9573</v>
      </c>
      <c r="C244" t="s">
        <v>4942</v>
      </c>
      <c r="D244" t="s">
        <v>4941</v>
      </c>
    </row>
    <row r="245" spans="1:4" x14ac:dyDescent="0.25">
      <c r="A245" s="3">
        <v>41152</v>
      </c>
      <c r="B245" s="1">
        <v>9560</v>
      </c>
      <c r="C245" t="s">
        <v>4942</v>
      </c>
      <c r="D245" t="s">
        <v>4941</v>
      </c>
    </row>
    <row r="246" spans="1:4" x14ac:dyDescent="0.25">
      <c r="A246" s="3">
        <v>41153</v>
      </c>
      <c r="B246" s="1">
        <v>9560</v>
      </c>
      <c r="C246" t="s">
        <v>4943</v>
      </c>
      <c r="D246" t="s">
        <v>4941</v>
      </c>
    </row>
    <row r="247" spans="1:4" x14ac:dyDescent="0.25">
      <c r="A247" s="3">
        <v>41154</v>
      </c>
      <c r="B247" s="1">
        <v>9560</v>
      </c>
      <c r="C247" t="s">
        <v>4943</v>
      </c>
      <c r="D247" t="s">
        <v>4941</v>
      </c>
    </row>
    <row r="248" spans="1:4" x14ac:dyDescent="0.25">
      <c r="A248" s="3">
        <v>41155</v>
      </c>
      <c r="B248" s="1">
        <v>9585</v>
      </c>
      <c r="C248" t="s">
        <v>4943</v>
      </c>
      <c r="D248" t="s">
        <v>4941</v>
      </c>
    </row>
    <row r="249" spans="1:4" x14ac:dyDescent="0.25">
      <c r="A249" s="3">
        <v>41156</v>
      </c>
      <c r="B249" s="1">
        <v>9578</v>
      </c>
      <c r="C249" t="s">
        <v>4943</v>
      </c>
      <c r="D249" t="s">
        <v>4941</v>
      </c>
    </row>
    <row r="250" spans="1:4" x14ac:dyDescent="0.25">
      <c r="A250" s="3">
        <v>41157</v>
      </c>
      <c r="B250" s="1">
        <v>9588</v>
      </c>
      <c r="C250" t="s">
        <v>4943</v>
      </c>
      <c r="D250" t="s">
        <v>4941</v>
      </c>
    </row>
    <row r="251" spans="1:4" x14ac:dyDescent="0.25">
      <c r="A251" s="3">
        <v>41158</v>
      </c>
      <c r="B251" s="1">
        <v>9592</v>
      </c>
      <c r="C251" t="s">
        <v>4943</v>
      </c>
      <c r="D251" t="s">
        <v>4941</v>
      </c>
    </row>
    <row r="252" spans="1:4" x14ac:dyDescent="0.25">
      <c r="A252" s="3">
        <v>41159</v>
      </c>
      <c r="B252" s="1">
        <v>9593</v>
      </c>
      <c r="C252" t="s">
        <v>4943</v>
      </c>
      <c r="D252" t="s">
        <v>4941</v>
      </c>
    </row>
    <row r="253" spans="1:4" x14ac:dyDescent="0.25">
      <c r="A253" s="3">
        <v>41160</v>
      </c>
      <c r="B253" s="1">
        <v>9593</v>
      </c>
      <c r="C253" t="s">
        <v>4943</v>
      </c>
      <c r="D253" t="s">
        <v>4941</v>
      </c>
    </row>
    <row r="254" spans="1:4" x14ac:dyDescent="0.25">
      <c r="A254" s="3">
        <v>41161</v>
      </c>
      <c r="B254" s="1">
        <v>9593</v>
      </c>
      <c r="C254" t="s">
        <v>4943</v>
      </c>
      <c r="D254" t="s">
        <v>4941</v>
      </c>
    </row>
    <row r="255" spans="1:4" x14ac:dyDescent="0.25">
      <c r="A255" s="3">
        <v>41162</v>
      </c>
      <c r="B255" s="1">
        <v>9583</v>
      </c>
      <c r="C255" t="s">
        <v>4943</v>
      </c>
      <c r="D255" t="s">
        <v>4941</v>
      </c>
    </row>
    <row r="256" spans="1:4" x14ac:dyDescent="0.25">
      <c r="A256" s="3">
        <v>41163</v>
      </c>
      <c r="B256" s="1">
        <v>9589</v>
      </c>
      <c r="C256" t="s">
        <v>4943</v>
      </c>
      <c r="D256" t="s">
        <v>4941</v>
      </c>
    </row>
    <row r="257" spans="1:4" x14ac:dyDescent="0.25">
      <c r="A257" s="3">
        <v>41164</v>
      </c>
      <c r="B257" s="1">
        <v>9578</v>
      </c>
      <c r="C257" t="s">
        <v>4943</v>
      </c>
      <c r="D257" t="s">
        <v>4941</v>
      </c>
    </row>
    <row r="258" spans="1:4" x14ac:dyDescent="0.25">
      <c r="A258" s="3">
        <v>41165</v>
      </c>
      <c r="B258" s="1">
        <v>9583</v>
      </c>
      <c r="C258" t="s">
        <v>4943</v>
      </c>
      <c r="D258" t="s">
        <v>4941</v>
      </c>
    </row>
    <row r="259" spans="1:4" x14ac:dyDescent="0.25">
      <c r="A259" s="3">
        <v>41166</v>
      </c>
      <c r="B259" s="1">
        <v>9573</v>
      </c>
      <c r="C259" t="s">
        <v>4943</v>
      </c>
      <c r="D259" t="s">
        <v>4941</v>
      </c>
    </row>
    <row r="260" spans="1:4" x14ac:dyDescent="0.25">
      <c r="A260" s="3">
        <v>41167</v>
      </c>
      <c r="B260" s="1">
        <v>9573</v>
      </c>
      <c r="C260" t="s">
        <v>4943</v>
      </c>
      <c r="D260" t="s">
        <v>4941</v>
      </c>
    </row>
    <row r="261" spans="1:4" x14ac:dyDescent="0.25">
      <c r="A261" s="3">
        <v>41168</v>
      </c>
      <c r="B261" s="1">
        <v>9573</v>
      </c>
      <c r="C261" t="s">
        <v>4943</v>
      </c>
      <c r="D261" t="s">
        <v>4941</v>
      </c>
    </row>
    <row r="262" spans="1:4" x14ac:dyDescent="0.25">
      <c r="A262" s="3">
        <v>41169</v>
      </c>
      <c r="B262" s="1">
        <v>9450</v>
      </c>
      <c r="C262" t="s">
        <v>4943</v>
      </c>
      <c r="D262" t="s">
        <v>4941</v>
      </c>
    </row>
    <row r="263" spans="1:4" x14ac:dyDescent="0.25">
      <c r="A263" s="3">
        <v>41170</v>
      </c>
      <c r="B263" s="1">
        <v>9493</v>
      </c>
      <c r="C263" t="s">
        <v>4943</v>
      </c>
      <c r="D263" t="s">
        <v>4941</v>
      </c>
    </row>
    <row r="264" spans="1:4" x14ac:dyDescent="0.25">
      <c r="A264" s="3">
        <v>41171</v>
      </c>
      <c r="B264" s="1">
        <v>9547</v>
      </c>
      <c r="C264" t="s">
        <v>4943</v>
      </c>
      <c r="D264" t="s">
        <v>4941</v>
      </c>
    </row>
    <row r="265" spans="1:4" x14ac:dyDescent="0.25">
      <c r="A265" s="3">
        <v>41172</v>
      </c>
      <c r="B265" s="1">
        <v>9539</v>
      </c>
      <c r="C265" t="s">
        <v>4943</v>
      </c>
      <c r="D265" t="s">
        <v>4941</v>
      </c>
    </row>
    <row r="266" spans="1:4" x14ac:dyDescent="0.25">
      <c r="A266" s="3">
        <v>41173</v>
      </c>
      <c r="B266" s="1">
        <v>9558</v>
      </c>
      <c r="C266" t="s">
        <v>4943</v>
      </c>
      <c r="D266" t="s">
        <v>4941</v>
      </c>
    </row>
    <row r="267" spans="1:4" x14ac:dyDescent="0.25">
      <c r="A267" s="3">
        <v>41174</v>
      </c>
      <c r="B267" s="1">
        <v>9558</v>
      </c>
      <c r="C267" t="s">
        <v>4943</v>
      </c>
      <c r="D267" t="s">
        <v>4941</v>
      </c>
    </row>
    <row r="268" spans="1:4" x14ac:dyDescent="0.25">
      <c r="A268" s="3">
        <v>41175</v>
      </c>
      <c r="B268" s="1">
        <v>9558</v>
      </c>
      <c r="C268" t="s">
        <v>4943</v>
      </c>
      <c r="D268" t="s">
        <v>4941</v>
      </c>
    </row>
    <row r="269" spans="1:4" x14ac:dyDescent="0.25">
      <c r="A269" s="3">
        <v>41176</v>
      </c>
      <c r="B269" s="1">
        <v>9560</v>
      </c>
      <c r="C269" t="s">
        <v>4943</v>
      </c>
      <c r="D269" t="s">
        <v>4941</v>
      </c>
    </row>
    <row r="270" spans="1:4" x14ac:dyDescent="0.25">
      <c r="A270" s="3">
        <v>41177</v>
      </c>
      <c r="B270" s="1">
        <v>9580</v>
      </c>
      <c r="C270" t="s">
        <v>4943</v>
      </c>
      <c r="D270" t="s">
        <v>4941</v>
      </c>
    </row>
    <row r="271" spans="1:4" x14ac:dyDescent="0.25">
      <c r="A271" s="3">
        <v>41178</v>
      </c>
      <c r="B271" s="1">
        <v>9580</v>
      </c>
      <c r="C271" t="s">
        <v>4943</v>
      </c>
      <c r="D271" t="s">
        <v>4941</v>
      </c>
    </row>
    <row r="272" spans="1:4" x14ac:dyDescent="0.25">
      <c r="A272" s="3">
        <v>41179</v>
      </c>
      <c r="B272" s="1">
        <v>9590</v>
      </c>
      <c r="C272" t="s">
        <v>4943</v>
      </c>
      <c r="D272" t="s">
        <v>4941</v>
      </c>
    </row>
    <row r="273" spans="1:4" x14ac:dyDescent="0.25">
      <c r="A273" s="3">
        <v>41180</v>
      </c>
      <c r="B273" s="1">
        <v>9588</v>
      </c>
      <c r="C273" t="s">
        <v>4943</v>
      </c>
      <c r="D273" t="s">
        <v>4941</v>
      </c>
    </row>
    <row r="274" spans="1:4" x14ac:dyDescent="0.25">
      <c r="A274" s="3">
        <v>41181</v>
      </c>
      <c r="B274" s="1">
        <v>9588</v>
      </c>
      <c r="C274" t="s">
        <v>4943</v>
      </c>
      <c r="D274" t="s">
        <v>4941</v>
      </c>
    </row>
    <row r="275" spans="1:4" x14ac:dyDescent="0.25">
      <c r="A275" s="3">
        <v>41182</v>
      </c>
      <c r="B275" s="1">
        <v>9588</v>
      </c>
      <c r="C275" t="s">
        <v>4943</v>
      </c>
      <c r="D275" t="s">
        <v>4941</v>
      </c>
    </row>
    <row r="276" spans="1:4" x14ac:dyDescent="0.25">
      <c r="A276" s="3">
        <v>41183</v>
      </c>
      <c r="B276" s="1">
        <v>9593</v>
      </c>
      <c r="C276" t="s">
        <v>4944</v>
      </c>
      <c r="D276" t="s">
        <v>4945</v>
      </c>
    </row>
    <row r="277" spans="1:4" x14ac:dyDescent="0.25">
      <c r="A277" s="3">
        <v>41184</v>
      </c>
      <c r="B277" s="1">
        <v>9583</v>
      </c>
      <c r="C277" t="s">
        <v>4944</v>
      </c>
      <c r="D277" t="s">
        <v>4945</v>
      </c>
    </row>
    <row r="278" spans="1:4" x14ac:dyDescent="0.25">
      <c r="A278" s="3">
        <v>41185</v>
      </c>
      <c r="B278" s="1">
        <v>9590</v>
      </c>
      <c r="C278" t="s">
        <v>4944</v>
      </c>
      <c r="D278" t="s">
        <v>4945</v>
      </c>
    </row>
    <row r="279" spans="1:4" x14ac:dyDescent="0.25">
      <c r="A279" s="3">
        <v>41186</v>
      </c>
      <c r="B279" s="1">
        <v>9585</v>
      </c>
      <c r="C279" t="s">
        <v>4944</v>
      </c>
      <c r="D279" t="s">
        <v>4945</v>
      </c>
    </row>
    <row r="280" spans="1:4" x14ac:dyDescent="0.25">
      <c r="A280" s="3">
        <v>41187</v>
      </c>
      <c r="B280" s="1">
        <v>9590</v>
      </c>
      <c r="C280" t="s">
        <v>4944</v>
      </c>
      <c r="D280" t="s">
        <v>4945</v>
      </c>
    </row>
    <row r="281" spans="1:4" x14ac:dyDescent="0.25">
      <c r="A281" s="3">
        <v>41188</v>
      </c>
      <c r="B281" s="1">
        <v>9590</v>
      </c>
      <c r="C281" t="s">
        <v>4944</v>
      </c>
      <c r="D281" t="s">
        <v>4945</v>
      </c>
    </row>
    <row r="282" spans="1:4" x14ac:dyDescent="0.25">
      <c r="A282" s="3">
        <v>41189</v>
      </c>
      <c r="B282" s="1">
        <v>9590</v>
      </c>
      <c r="C282" t="s">
        <v>4944</v>
      </c>
      <c r="D282" t="s">
        <v>4945</v>
      </c>
    </row>
    <row r="283" spans="1:4" x14ac:dyDescent="0.25">
      <c r="A283" s="3">
        <v>41190</v>
      </c>
      <c r="B283" s="1">
        <v>9590</v>
      </c>
      <c r="C283" t="s">
        <v>4944</v>
      </c>
      <c r="D283" t="s">
        <v>4945</v>
      </c>
    </row>
    <row r="284" spans="1:4" x14ac:dyDescent="0.25">
      <c r="A284" s="3">
        <v>41191</v>
      </c>
      <c r="B284" s="1">
        <v>9600</v>
      </c>
      <c r="C284" t="s">
        <v>4944</v>
      </c>
      <c r="D284" t="s">
        <v>4945</v>
      </c>
    </row>
    <row r="285" spans="1:4" x14ac:dyDescent="0.25">
      <c r="A285" s="3">
        <v>41192</v>
      </c>
      <c r="B285" s="1">
        <v>9598</v>
      </c>
      <c r="C285" t="s">
        <v>4944</v>
      </c>
      <c r="D285" t="s">
        <v>4945</v>
      </c>
    </row>
    <row r="286" spans="1:4" x14ac:dyDescent="0.25">
      <c r="A286" s="3">
        <v>41193</v>
      </c>
      <c r="B286" s="1">
        <v>9603</v>
      </c>
      <c r="C286" t="s">
        <v>4944</v>
      </c>
      <c r="D286" t="s">
        <v>4945</v>
      </c>
    </row>
    <row r="287" spans="1:4" x14ac:dyDescent="0.25">
      <c r="A287" s="3">
        <v>41194</v>
      </c>
      <c r="B287" s="1">
        <v>9605</v>
      </c>
      <c r="C287" t="s">
        <v>4944</v>
      </c>
      <c r="D287" t="s">
        <v>4945</v>
      </c>
    </row>
    <row r="288" spans="1:4" x14ac:dyDescent="0.25">
      <c r="A288" s="3">
        <v>41195</v>
      </c>
      <c r="B288" s="1">
        <v>9605</v>
      </c>
      <c r="C288" t="s">
        <v>4944</v>
      </c>
      <c r="D288" t="s">
        <v>4945</v>
      </c>
    </row>
    <row r="289" spans="1:4" x14ac:dyDescent="0.25">
      <c r="A289" s="3">
        <v>41196</v>
      </c>
      <c r="B289" s="1">
        <v>9605</v>
      </c>
      <c r="C289" t="s">
        <v>4944</v>
      </c>
      <c r="D289" t="s">
        <v>4945</v>
      </c>
    </row>
    <row r="290" spans="1:4" x14ac:dyDescent="0.25">
      <c r="A290" s="3">
        <v>41197</v>
      </c>
      <c r="B290" s="1">
        <v>9593</v>
      </c>
      <c r="C290" t="s">
        <v>4944</v>
      </c>
      <c r="D290" t="s">
        <v>4945</v>
      </c>
    </row>
    <row r="291" spans="1:4" x14ac:dyDescent="0.25">
      <c r="A291" s="3">
        <v>41198</v>
      </c>
      <c r="B291" s="1">
        <v>9585</v>
      </c>
      <c r="C291" t="s">
        <v>4944</v>
      </c>
      <c r="D291" t="s">
        <v>4945</v>
      </c>
    </row>
    <row r="292" spans="1:4" x14ac:dyDescent="0.25">
      <c r="A292" s="3">
        <v>41199</v>
      </c>
      <c r="B292" s="1">
        <v>9585</v>
      </c>
      <c r="C292" t="s">
        <v>4944</v>
      </c>
      <c r="D292" t="s">
        <v>4945</v>
      </c>
    </row>
    <row r="293" spans="1:4" x14ac:dyDescent="0.25">
      <c r="A293" s="3">
        <v>41200</v>
      </c>
      <c r="B293" s="1">
        <v>9585</v>
      </c>
      <c r="C293" t="s">
        <v>4944</v>
      </c>
      <c r="D293" t="s">
        <v>4945</v>
      </c>
    </row>
    <row r="294" spans="1:4" x14ac:dyDescent="0.25">
      <c r="A294" s="3">
        <v>41201</v>
      </c>
      <c r="B294" s="1">
        <v>9590</v>
      </c>
      <c r="C294" t="s">
        <v>4944</v>
      </c>
      <c r="D294" t="s">
        <v>4945</v>
      </c>
    </row>
    <row r="295" spans="1:4" x14ac:dyDescent="0.25">
      <c r="A295" s="3">
        <v>41202</v>
      </c>
      <c r="B295" s="1">
        <v>9590</v>
      </c>
      <c r="C295" t="s">
        <v>4944</v>
      </c>
      <c r="D295" t="s">
        <v>4945</v>
      </c>
    </row>
    <row r="296" spans="1:4" x14ac:dyDescent="0.25">
      <c r="A296" s="3">
        <v>41203</v>
      </c>
      <c r="B296" s="1">
        <v>9590</v>
      </c>
      <c r="C296" t="s">
        <v>4944</v>
      </c>
      <c r="D296" t="s">
        <v>4945</v>
      </c>
    </row>
    <row r="297" spans="1:4" x14ac:dyDescent="0.25">
      <c r="A297" s="3">
        <v>41204</v>
      </c>
      <c r="B297" s="1">
        <v>9593</v>
      </c>
      <c r="C297" t="s">
        <v>4944</v>
      </c>
      <c r="D297" t="s">
        <v>4945</v>
      </c>
    </row>
    <row r="298" spans="1:4" x14ac:dyDescent="0.25">
      <c r="A298" s="3">
        <v>41205</v>
      </c>
      <c r="B298" s="1">
        <v>9615</v>
      </c>
      <c r="C298" t="s">
        <v>4944</v>
      </c>
      <c r="D298" t="s">
        <v>4945</v>
      </c>
    </row>
    <row r="299" spans="1:4" x14ac:dyDescent="0.25">
      <c r="A299" s="3">
        <v>41206</v>
      </c>
      <c r="B299" s="1">
        <v>9615</v>
      </c>
      <c r="C299" t="s">
        <v>4944</v>
      </c>
      <c r="D299" t="s">
        <v>4945</v>
      </c>
    </row>
    <row r="300" spans="1:4" x14ac:dyDescent="0.25">
      <c r="A300" s="3">
        <v>41207</v>
      </c>
      <c r="B300" s="1">
        <v>9614</v>
      </c>
      <c r="C300" t="s">
        <v>4944</v>
      </c>
      <c r="D300" t="s">
        <v>4945</v>
      </c>
    </row>
    <row r="301" spans="1:4" x14ac:dyDescent="0.25">
      <c r="A301" s="3">
        <v>41208</v>
      </c>
      <c r="B301" s="1">
        <v>9614</v>
      </c>
      <c r="C301" t="s">
        <v>4944</v>
      </c>
      <c r="D301" t="s">
        <v>4945</v>
      </c>
    </row>
    <row r="302" spans="1:4" x14ac:dyDescent="0.25">
      <c r="A302" s="3">
        <v>41209</v>
      </c>
      <c r="B302" s="1">
        <v>9614</v>
      </c>
      <c r="C302" t="s">
        <v>4944</v>
      </c>
      <c r="D302" t="s">
        <v>4945</v>
      </c>
    </row>
    <row r="303" spans="1:4" x14ac:dyDescent="0.25">
      <c r="A303" s="3">
        <v>41210</v>
      </c>
      <c r="B303" s="1">
        <v>9614</v>
      </c>
      <c r="C303" t="s">
        <v>4944</v>
      </c>
      <c r="D303" t="s">
        <v>4945</v>
      </c>
    </row>
    <row r="304" spans="1:4" x14ac:dyDescent="0.25">
      <c r="A304" s="3">
        <v>41211</v>
      </c>
      <c r="B304" s="1">
        <v>9605</v>
      </c>
      <c r="C304" t="s">
        <v>4944</v>
      </c>
      <c r="D304" t="s">
        <v>4945</v>
      </c>
    </row>
    <row r="305" spans="1:4" x14ac:dyDescent="0.25">
      <c r="A305" s="3">
        <v>41212</v>
      </c>
      <c r="B305" s="1">
        <v>9605</v>
      </c>
      <c r="C305" t="s">
        <v>4944</v>
      </c>
      <c r="D305" t="s">
        <v>4945</v>
      </c>
    </row>
    <row r="306" spans="1:4" x14ac:dyDescent="0.25">
      <c r="A306" s="3">
        <v>41213</v>
      </c>
      <c r="B306" s="1">
        <v>9615</v>
      </c>
      <c r="C306" t="s">
        <v>4944</v>
      </c>
      <c r="D306" t="s">
        <v>4945</v>
      </c>
    </row>
    <row r="307" spans="1:4" x14ac:dyDescent="0.25">
      <c r="A307" s="3">
        <v>41214</v>
      </c>
      <c r="B307" s="1">
        <v>9628</v>
      </c>
      <c r="C307" t="s">
        <v>4946</v>
      </c>
      <c r="D307" t="s">
        <v>4945</v>
      </c>
    </row>
    <row r="308" spans="1:4" x14ac:dyDescent="0.25">
      <c r="A308" s="3">
        <v>41215</v>
      </c>
      <c r="B308" s="1">
        <v>9628</v>
      </c>
      <c r="C308" t="s">
        <v>4946</v>
      </c>
      <c r="D308" t="s">
        <v>4945</v>
      </c>
    </row>
    <row r="309" spans="1:4" x14ac:dyDescent="0.25">
      <c r="A309" s="3">
        <v>41216</v>
      </c>
      <c r="B309" s="1">
        <v>9628</v>
      </c>
      <c r="C309" t="s">
        <v>4946</v>
      </c>
      <c r="D309" t="s">
        <v>4945</v>
      </c>
    </row>
    <row r="310" spans="1:4" x14ac:dyDescent="0.25">
      <c r="A310" s="3">
        <v>41217</v>
      </c>
      <c r="B310" s="1">
        <v>9628</v>
      </c>
      <c r="C310" t="s">
        <v>4946</v>
      </c>
      <c r="D310" t="s">
        <v>4945</v>
      </c>
    </row>
    <row r="311" spans="1:4" x14ac:dyDescent="0.25">
      <c r="A311" s="3">
        <v>41218</v>
      </c>
      <c r="B311" s="1">
        <v>9628</v>
      </c>
      <c r="C311" t="s">
        <v>4946</v>
      </c>
      <c r="D311" t="s">
        <v>4945</v>
      </c>
    </row>
    <row r="312" spans="1:4" x14ac:dyDescent="0.25">
      <c r="A312" s="3">
        <v>41219</v>
      </c>
      <c r="B312" s="1">
        <v>9633</v>
      </c>
      <c r="C312" t="s">
        <v>4946</v>
      </c>
      <c r="D312" t="s">
        <v>4945</v>
      </c>
    </row>
    <row r="313" spans="1:4" x14ac:dyDescent="0.25">
      <c r="A313" s="3">
        <v>41220</v>
      </c>
      <c r="B313" s="1">
        <v>9630</v>
      </c>
      <c r="C313" t="s">
        <v>4946</v>
      </c>
      <c r="D313" t="s">
        <v>4945</v>
      </c>
    </row>
    <row r="314" spans="1:4" x14ac:dyDescent="0.25">
      <c r="A314" s="3">
        <v>41221</v>
      </c>
      <c r="B314" s="1">
        <v>9638</v>
      </c>
      <c r="C314" t="s">
        <v>4946</v>
      </c>
      <c r="D314" t="s">
        <v>4945</v>
      </c>
    </row>
    <row r="315" spans="1:4" x14ac:dyDescent="0.25">
      <c r="A315" s="3">
        <v>41222</v>
      </c>
      <c r="B315" s="1">
        <v>9633</v>
      </c>
      <c r="C315" t="s">
        <v>4946</v>
      </c>
      <c r="D315" t="s">
        <v>4945</v>
      </c>
    </row>
    <row r="316" spans="1:4" x14ac:dyDescent="0.25">
      <c r="A316" s="3">
        <v>41223</v>
      </c>
      <c r="B316" s="1">
        <v>9633</v>
      </c>
      <c r="C316" t="s">
        <v>4946</v>
      </c>
      <c r="D316" t="s">
        <v>4945</v>
      </c>
    </row>
    <row r="317" spans="1:4" x14ac:dyDescent="0.25">
      <c r="A317" s="3">
        <v>41224</v>
      </c>
      <c r="B317" s="1">
        <v>9633</v>
      </c>
      <c r="C317" t="s">
        <v>4946</v>
      </c>
      <c r="D317" t="s">
        <v>4945</v>
      </c>
    </row>
    <row r="318" spans="1:4" x14ac:dyDescent="0.25">
      <c r="A318" s="3">
        <v>41225</v>
      </c>
      <c r="B318" s="1">
        <v>9635</v>
      </c>
      <c r="C318" t="s">
        <v>4946</v>
      </c>
      <c r="D318" t="s">
        <v>4945</v>
      </c>
    </row>
    <row r="319" spans="1:4" x14ac:dyDescent="0.25">
      <c r="A319" s="3">
        <v>41226</v>
      </c>
      <c r="B319" s="1">
        <v>9637</v>
      </c>
      <c r="C319" t="s">
        <v>4946</v>
      </c>
      <c r="D319" t="s">
        <v>4945</v>
      </c>
    </row>
    <row r="320" spans="1:4" x14ac:dyDescent="0.25">
      <c r="A320" s="3">
        <v>41227</v>
      </c>
      <c r="B320" s="1">
        <v>9638</v>
      </c>
      <c r="C320" t="s">
        <v>4946</v>
      </c>
      <c r="D320" t="s">
        <v>4945</v>
      </c>
    </row>
    <row r="321" spans="1:4" x14ac:dyDescent="0.25">
      <c r="A321" s="3">
        <v>41228</v>
      </c>
      <c r="B321" s="1">
        <v>9638</v>
      </c>
      <c r="C321" t="s">
        <v>4946</v>
      </c>
      <c r="D321" t="s">
        <v>4945</v>
      </c>
    </row>
    <row r="322" spans="1:4" x14ac:dyDescent="0.25">
      <c r="A322" s="3">
        <v>41229</v>
      </c>
      <c r="B322" s="1">
        <v>9638</v>
      </c>
      <c r="C322" t="s">
        <v>4946</v>
      </c>
      <c r="D322" t="s">
        <v>4945</v>
      </c>
    </row>
    <row r="323" spans="1:4" x14ac:dyDescent="0.25">
      <c r="A323" s="3">
        <v>41230</v>
      </c>
      <c r="B323" s="1">
        <v>9638</v>
      </c>
      <c r="C323" t="s">
        <v>4946</v>
      </c>
      <c r="D323" t="s">
        <v>4945</v>
      </c>
    </row>
    <row r="324" spans="1:4" x14ac:dyDescent="0.25">
      <c r="A324" s="3">
        <v>41231</v>
      </c>
      <c r="B324" s="1">
        <v>9638</v>
      </c>
      <c r="C324" t="s">
        <v>4946</v>
      </c>
      <c r="D324" t="s">
        <v>4945</v>
      </c>
    </row>
    <row r="325" spans="1:4" x14ac:dyDescent="0.25">
      <c r="A325" s="3">
        <v>41232</v>
      </c>
      <c r="B325" s="1">
        <v>9639</v>
      </c>
      <c r="C325" t="s">
        <v>4946</v>
      </c>
      <c r="D325" t="s">
        <v>4945</v>
      </c>
    </row>
    <row r="326" spans="1:4" x14ac:dyDescent="0.25">
      <c r="A326" s="3">
        <v>41233</v>
      </c>
      <c r="B326" s="1">
        <v>9638</v>
      </c>
      <c r="C326" t="s">
        <v>4946</v>
      </c>
      <c r="D326" t="s">
        <v>4945</v>
      </c>
    </row>
    <row r="327" spans="1:4" x14ac:dyDescent="0.25">
      <c r="A327" s="3">
        <v>41234</v>
      </c>
      <c r="B327" s="1">
        <v>9643</v>
      </c>
      <c r="C327" t="s">
        <v>4946</v>
      </c>
      <c r="D327" t="s">
        <v>4945</v>
      </c>
    </row>
    <row r="328" spans="1:4" x14ac:dyDescent="0.25">
      <c r="A328" s="3">
        <v>41235</v>
      </c>
      <c r="B328" s="1">
        <v>9639</v>
      </c>
      <c r="C328" t="s">
        <v>4946</v>
      </c>
      <c r="D328" t="s">
        <v>4945</v>
      </c>
    </row>
    <row r="329" spans="1:4" x14ac:dyDescent="0.25">
      <c r="A329" s="3">
        <v>41236</v>
      </c>
      <c r="B329" s="1">
        <v>9628</v>
      </c>
      <c r="C329" t="s">
        <v>4946</v>
      </c>
      <c r="D329" t="s">
        <v>4945</v>
      </c>
    </row>
    <row r="330" spans="1:4" x14ac:dyDescent="0.25">
      <c r="A330" s="3">
        <v>41237</v>
      </c>
      <c r="B330" s="1">
        <v>9628</v>
      </c>
      <c r="C330" t="s">
        <v>4946</v>
      </c>
      <c r="D330" t="s">
        <v>4945</v>
      </c>
    </row>
    <row r="331" spans="1:4" x14ac:dyDescent="0.25">
      <c r="A331" s="3">
        <v>41238</v>
      </c>
      <c r="B331" s="1">
        <v>9628</v>
      </c>
      <c r="C331" t="s">
        <v>4946</v>
      </c>
      <c r="D331" t="s">
        <v>4945</v>
      </c>
    </row>
    <row r="332" spans="1:4" x14ac:dyDescent="0.25">
      <c r="A332" s="3">
        <v>41239</v>
      </c>
      <c r="B332" s="1">
        <v>9618</v>
      </c>
      <c r="C332" t="s">
        <v>4946</v>
      </c>
      <c r="D332" t="s">
        <v>4945</v>
      </c>
    </row>
    <row r="333" spans="1:4" x14ac:dyDescent="0.25">
      <c r="A333" s="3">
        <v>41240</v>
      </c>
      <c r="B333" s="1">
        <v>9603</v>
      </c>
      <c r="C333" t="s">
        <v>4946</v>
      </c>
      <c r="D333" t="s">
        <v>4945</v>
      </c>
    </row>
    <row r="334" spans="1:4" x14ac:dyDescent="0.25">
      <c r="A334" s="3">
        <v>41241</v>
      </c>
      <c r="B334" s="1">
        <v>9608</v>
      </c>
      <c r="C334" t="s">
        <v>4946</v>
      </c>
      <c r="D334" t="s">
        <v>4945</v>
      </c>
    </row>
    <row r="335" spans="1:4" x14ac:dyDescent="0.25">
      <c r="A335" s="3">
        <v>41242</v>
      </c>
      <c r="B335" s="1">
        <v>9610</v>
      </c>
      <c r="C335" t="s">
        <v>4946</v>
      </c>
      <c r="D335" t="s">
        <v>4945</v>
      </c>
    </row>
    <row r="336" spans="1:4" x14ac:dyDescent="0.25">
      <c r="A336" s="3">
        <v>41243</v>
      </c>
      <c r="B336" s="1">
        <v>9605</v>
      </c>
      <c r="C336" t="s">
        <v>4946</v>
      </c>
      <c r="D336" t="s">
        <v>4945</v>
      </c>
    </row>
    <row r="337" spans="1:4" x14ac:dyDescent="0.25">
      <c r="A337" s="3">
        <v>41244</v>
      </c>
      <c r="B337" s="1">
        <v>9605</v>
      </c>
      <c r="C337" t="s">
        <v>4947</v>
      </c>
      <c r="D337" t="s">
        <v>4945</v>
      </c>
    </row>
    <row r="338" spans="1:4" x14ac:dyDescent="0.25">
      <c r="A338" s="3">
        <v>41245</v>
      </c>
      <c r="B338" s="1">
        <v>9605</v>
      </c>
      <c r="C338" t="s">
        <v>4947</v>
      </c>
      <c r="D338" t="s">
        <v>4945</v>
      </c>
    </row>
    <row r="339" spans="1:4" x14ac:dyDescent="0.25">
      <c r="A339" s="3">
        <v>41246</v>
      </c>
      <c r="B339" s="1">
        <v>9598</v>
      </c>
      <c r="C339" t="s">
        <v>4947</v>
      </c>
      <c r="D339" t="s">
        <v>4945</v>
      </c>
    </row>
    <row r="340" spans="1:4" x14ac:dyDescent="0.25">
      <c r="A340" s="3">
        <v>41247</v>
      </c>
      <c r="B340" s="1">
        <v>9605</v>
      </c>
      <c r="C340" t="s">
        <v>4947</v>
      </c>
      <c r="D340" t="s">
        <v>4945</v>
      </c>
    </row>
    <row r="341" spans="1:4" x14ac:dyDescent="0.25">
      <c r="A341" s="3">
        <v>41248</v>
      </c>
      <c r="B341" s="1">
        <v>9605</v>
      </c>
      <c r="C341" t="s">
        <v>4947</v>
      </c>
      <c r="D341" t="s">
        <v>4945</v>
      </c>
    </row>
    <row r="342" spans="1:4" x14ac:dyDescent="0.25">
      <c r="A342" s="3">
        <v>41249</v>
      </c>
      <c r="B342" s="1">
        <v>9613</v>
      </c>
      <c r="C342" t="s">
        <v>4947</v>
      </c>
      <c r="D342" t="s">
        <v>4945</v>
      </c>
    </row>
    <row r="343" spans="1:4" x14ac:dyDescent="0.25">
      <c r="A343" s="3">
        <v>41250</v>
      </c>
      <c r="B343" s="1">
        <v>9625</v>
      </c>
      <c r="C343" t="s">
        <v>4947</v>
      </c>
      <c r="D343" t="s">
        <v>4945</v>
      </c>
    </row>
    <row r="344" spans="1:4" x14ac:dyDescent="0.25">
      <c r="A344" s="3">
        <v>41251</v>
      </c>
      <c r="B344" s="1">
        <v>9625</v>
      </c>
      <c r="C344" t="s">
        <v>4947</v>
      </c>
      <c r="D344" t="s">
        <v>4945</v>
      </c>
    </row>
    <row r="345" spans="1:4" x14ac:dyDescent="0.25">
      <c r="A345" s="3">
        <v>41252</v>
      </c>
      <c r="B345" s="1">
        <v>9625</v>
      </c>
      <c r="C345" t="s">
        <v>4947</v>
      </c>
      <c r="D345" t="s">
        <v>4945</v>
      </c>
    </row>
    <row r="346" spans="1:4" x14ac:dyDescent="0.25">
      <c r="A346" s="3">
        <v>41253</v>
      </c>
      <c r="B346" s="1">
        <v>9653</v>
      </c>
      <c r="C346" t="s">
        <v>4947</v>
      </c>
      <c r="D346" t="s">
        <v>4945</v>
      </c>
    </row>
    <row r="347" spans="1:4" x14ac:dyDescent="0.25">
      <c r="A347" s="3">
        <v>41254</v>
      </c>
      <c r="B347" s="1">
        <v>9648</v>
      </c>
      <c r="C347" t="s">
        <v>4947</v>
      </c>
      <c r="D347" t="s">
        <v>4945</v>
      </c>
    </row>
    <row r="348" spans="1:4" x14ac:dyDescent="0.25">
      <c r="A348" s="3">
        <v>41255</v>
      </c>
      <c r="B348" s="1">
        <v>9645</v>
      </c>
      <c r="C348" t="s">
        <v>4947</v>
      </c>
      <c r="D348" t="s">
        <v>4945</v>
      </c>
    </row>
    <row r="349" spans="1:4" x14ac:dyDescent="0.25">
      <c r="A349" s="3">
        <v>41256</v>
      </c>
      <c r="B349" s="1">
        <v>9643</v>
      </c>
      <c r="C349" t="s">
        <v>4947</v>
      </c>
      <c r="D349" t="s">
        <v>4945</v>
      </c>
    </row>
    <row r="350" spans="1:4" x14ac:dyDescent="0.25">
      <c r="A350" s="3">
        <v>41257</v>
      </c>
      <c r="B350" s="1">
        <v>9645</v>
      </c>
      <c r="C350" t="s">
        <v>4947</v>
      </c>
      <c r="D350" t="s">
        <v>4945</v>
      </c>
    </row>
    <row r="351" spans="1:4" x14ac:dyDescent="0.25">
      <c r="A351" s="3">
        <v>41258</v>
      </c>
      <c r="B351" s="1">
        <v>9645</v>
      </c>
      <c r="C351" t="s">
        <v>4947</v>
      </c>
      <c r="D351" t="s">
        <v>4945</v>
      </c>
    </row>
    <row r="352" spans="1:4" x14ac:dyDescent="0.25">
      <c r="A352" s="3">
        <v>41259</v>
      </c>
      <c r="B352" s="1">
        <v>9645</v>
      </c>
      <c r="C352" t="s">
        <v>4947</v>
      </c>
      <c r="D352" t="s">
        <v>4945</v>
      </c>
    </row>
    <row r="353" spans="1:4" x14ac:dyDescent="0.25">
      <c r="A353" s="3">
        <v>41260</v>
      </c>
      <c r="B353" s="1">
        <v>9645</v>
      </c>
      <c r="C353" t="s">
        <v>4947</v>
      </c>
      <c r="D353" t="s">
        <v>4945</v>
      </c>
    </row>
    <row r="354" spans="1:4" x14ac:dyDescent="0.25">
      <c r="A354" s="3">
        <v>41261</v>
      </c>
      <c r="B354" s="1">
        <v>9643</v>
      </c>
      <c r="C354" t="s">
        <v>4947</v>
      </c>
      <c r="D354" t="s">
        <v>4945</v>
      </c>
    </row>
    <row r="355" spans="1:4" x14ac:dyDescent="0.25">
      <c r="A355" s="3">
        <v>41262</v>
      </c>
      <c r="B355" s="1">
        <v>9649</v>
      </c>
      <c r="C355" t="s">
        <v>4947</v>
      </c>
      <c r="D355" t="s">
        <v>4945</v>
      </c>
    </row>
    <row r="356" spans="1:4" x14ac:dyDescent="0.25">
      <c r="A356" s="3">
        <v>41263</v>
      </c>
      <c r="B356" s="1">
        <v>9660</v>
      </c>
      <c r="C356" t="s">
        <v>4947</v>
      </c>
      <c r="D356" t="s">
        <v>4945</v>
      </c>
    </row>
    <row r="357" spans="1:4" x14ac:dyDescent="0.25">
      <c r="A357" s="3">
        <v>41264</v>
      </c>
      <c r="B357" s="1">
        <v>9687</v>
      </c>
      <c r="C357" t="s">
        <v>4947</v>
      </c>
      <c r="D357" t="s">
        <v>4945</v>
      </c>
    </row>
    <row r="358" spans="1:4" x14ac:dyDescent="0.25">
      <c r="A358" s="3">
        <v>41265</v>
      </c>
      <c r="B358" s="1">
        <v>9687</v>
      </c>
      <c r="C358" t="s">
        <v>4947</v>
      </c>
      <c r="D358" t="s">
        <v>4945</v>
      </c>
    </row>
    <row r="359" spans="1:4" x14ac:dyDescent="0.25">
      <c r="A359" s="3">
        <v>41266</v>
      </c>
      <c r="B359" s="1">
        <v>9687</v>
      </c>
      <c r="C359" t="s">
        <v>4947</v>
      </c>
      <c r="D359" t="s">
        <v>4945</v>
      </c>
    </row>
    <row r="360" spans="1:4" x14ac:dyDescent="0.25">
      <c r="A360" s="3">
        <v>41267</v>
      </c>
      <c r="B360" s="1">
        <v>9687</v>
      </c>
      <c r="C360" t="s">
        <v>4947</v>
      </c>
      <c r="D360" t="s">
        <v>4945</v>
      </c>
    </row>
    <row r="361" spans="1:4" x14ac:dyDescent="0.25">
      <c r="A361" s="3">
        <v>41268</v>
      </c>
      <c r="B361" s="1">
        <v>9687</v>
      </c>
      <c r="C361" t="s">
        <v>4947</v>
      </c>
      <c r="D361" t="s">
        <v>4945</v>
      </c>
    </row>
    <row r="362" spans="1:4" x14ac:dyDescent="0.25">
      <c r="A362" s="3">
        <v>41269</v>
      </c>
      <c r="B362" s="1">
        <v>9707</v>
      </c>
      <c r="C362" t="s">
        <v>4947</v>
      </c>
      <c r="D362" t="s">
        <v>4945</v>
      </c>
    </row>
    <row r="363" spans="1:4" x14ac:dyDescent="0.25">
      <c r="A363" s="3">
        <v>41270</v>
      </c>
      <c r="B363" s="1">
        <v>9685</v>
      </c>
      <c r="C363" t="s">
        <v>4947</v>
      </c>
      <c r="D363" t="s">
        <v>4945</v>
      </c>
    </row>
    <row r="364" spans="1:4" x14ac:dyDescent="0.25">
      <c r="A364" s="3">
        <v>41271</v>
      </c>
      <c r="B364" s="1">
        <v>9670</v>
      </c>
      <c r="C364" t="s">
        <v>4947</v>
      </c>
      <c r="D364" t="s">
        <v>4945</v>
      </c>
    </row>
    <row r="365" spans="1:4" x14ac:dyDescent="0.25">
      <c r="A365" s="3">
        <v>41272</v>
      </c>
      <c r="B365" s="1">
        <v>9670</v>
      </c>
      <c r="C365" t="s">
        <v>4947</v>
      </c>
      <c r="D365" t="s">
        <v>4945</v>
      </c>
    </row>
    <row r="366" spans="1:4" x14ac:dyDescent="0.25">
      <c r="A366" s="3">
        <v>41273</v>
      </c>
      <c r="B366" s="1">
        <v>9670</v>
      </c>
      <c r="C366" t="s">
        <v>4947</v>
      </c>
      <c r="D366" t="s">
        <v>4945</v>
      </c>
    </row>
    <row r="367" spans="1:4" x14ac:dyDescent="0.25">
      <c r="A367" s="3">
        <v>41274</v>
      </c>
      <c r="B367" s="1">
        <v>9670</v>
      </c>
      <c r="C367" t="s">
        <v>4947</v>
      </c>
      <c r="D367" t="s">
        <v>4945</v>
      </c>
    </row>
    <row r="368" spans="1:4" x14ac:dyDescent="0.25">
      <c r="A368" s="2" t="s">
        <v>74</v>
      </c>
      <c r="B368" s="1">
        <v>9670</v>
      </c>
      <c r="C368" t="s">
        <v>75</v>
      </c>
      <c r="D368" t="s">
        <v>17</v>
      </c>
    </row>
    <row r="369" spans="1:4" x14ac:dyDescent="0.25">
      <c r="A369" s="2" t="s">
        <v>76</v>
      </c>
      <c r="B369" s="1">
        <v>9685</v>
      </c>
      <c r="C369" t="s">
        <v>75</v>
      </c>
      <c r="D369" t="s">
        <v>17</v>
      </c>
    </row>
    <row r="370" spans="1:4" x14ac:dyDescent="0.25">
      <c r="A370" s="2" t="s">
        <v>77</v>
      </c>
      <c r="B370" s="1">
        <v>9670</v>
      </c>
      <c r="C370" t="s">
        <v>75</v>
      </c>
      <c r="D370" t="s">
        <v>17</v>
      </c>
    </row>
    <row r="371" spans="1:4" x14ac:dyDescent="0.25">
      <c r="A371" s="2" t="s">
        <v>78</v>
      </c>
      <c r="B371" s="1">
        <v>9675</v>
      </c>
      <c r="C371" t="s">
        <v>75</v>
      </c>
      <c r="D371" t="s">
        <v>17</v>
      </c>
    </row>
    <row r="372" spans="1:4" x14ac:dyDescent="0.25">
      <c r="A372" s="2" t="s">
        <v>79</v>
      </c>
      <c r="B372" s="1">
        <v>9675</v>
      </c>
      <c r="C372" t="s">
        <v>75</v>
      </c>
      <c r="D372" t="s">
        <v>17</v>
      </c>
    </row>
    <row r="373" spans="1:4" x14ac:dyDescent="0.25">
      <c r="A373" s="2" t="s">
        <v>80</v>
      </c>
      <c r="B373" s="1">
        <v>9675</v>
      </c>
      <c r="C373" t="s">
        <v>75</v>
      </c>
      <c r="D373" t="s">
        <v>17</v>
      </c>
    </row>
    <row r="374" spans="1:4" x14ac:dyDescent="0.25">
      <c r="A374" s="2" t="s">
        <v>81</v>
      </c>
      <c r="B374" s="1">
        <v>9738</v>
      </c>
      <c r="C374" t="s">
        <v>75</v>
      </c>
      <c r="D374" t="s">
        <v>17</v>
      </c>
    </row>
    <row r="375" spans="1:4" x14ac:dyDescent="0.25">
      <c r="A375" s="2" t="s">
        <v>82</v>
      </c>
      <c r="B375" s="1">
        <v>9740</v>
      </c>
      <c r="C375" t="s">
        <v>75</v>
      </c>
      <c r="D375" t="s">
        <v>17</v>
      </c>
    </row>
    <row r="376" spans="1:4" x14ac:dyDescent="0.25">
      <c r="A376" s="2" t="s">
        <v>83</v>
      </c>
      <c r="B376" s="1">
        <v>9740</v>
      </c>
      <c r="C376" t="s">
        <v>75</v>
      </c>
      <c r="D376" t="s">
        <v>17</v>
      </c>
    </row>
    <row r="377" spans="1:4" x14ac:dyDescent="0.25">
      <c r="A377" s="2" t="s">
        <v>84</v>
      </c>
      <c r="B377" s="1">
        <v>9715</v>
      </c>
      <c r="C377" t="s">
        <v>75</v>
      </c>
      <c r="D377" t="s">
        <v>17</v>
      </c>
    </row>
    <row r="378" spans="1:4" x14ac:dyDescent="0.25">
      <c r="A378" s="2" t="s">
        <v>85</v>
      </c>
      <c r="B378" s="1">
        <v>9660</v>
      </c>
      <c r="C378" t="s">
        <v>75</v>
      </c>
      <c r="D378" t="s">
        <v>17</v>
      </c>
    </row>
    <row r="379" spans="1:4" x14ac:dyDescent="0.25">
      <c r="A379" s="2" t="s">
        <v>86</v>
      </c>
      <c r="B379" s="1">
        <v>9660</v>
      </c>
      <c r="C379" t="s">
        <v>75</v>
      </c>
      <c r="D379" t="s">
        <v>17</v>
      </c>
    </row>
    <row r="380" spans="1:4" x14ac:dyDescent="0.25">
      <c r="A380" s="2" t="s">
        <v>87</v>
      </c>
      <c r="B380" s="1">
        <v>9660</v>
      </c>
      <c r="C380" t="s">
        <v>75</v>
      </c>
      <c r="D380" t="s">
        <v>17</v>
      </c>
    </row>
    <row r="381" spans="1:4" x14ac:dyDescent="0.25">
      <c r="A381" s="2" t="s">
        <v>88</v>
      </c>
      <c r="B381" s="1">
        <v>9670</v>
      </c>
      <c r="C381" t="s">
        <v>75</v>
      </c>
      <c r="D381" t="s">
        <v>17</v>
      </c>
    </row>
    <row r="382" spans="1:4" x14ac:dyDescent="0.25">
      <c r="A382" s="2" t="s">
        <v>89</v>
      </c>
      <c r="B382" s="1">
        <v>9740</v>
      </c>
      <c r="C382" t="s">
        <v>75</v>
      </c>
      <c r="D382" t="s">
        <v>17</v>
      </c>
    </row>
    <row r="383" spans="1:4" x14ac:dyDescent="0.25">
      <c r="A383" s="2" t="s">
        <v>90</v>
      </c>
      <c r="B383" s="1">
        <v>9690</v>
      </c>
      <c r="C383" t="s">
        <v>75</v>
      </c>
      <c r="D383" t="s">
        <v>17</v>
      </c>
    </row>
    <row r="384" spans="1:4" x14ac:dyDescent="0.25">
      <c r="A384" s="2" t="s">
        <v>91</v>
      </c>
      <c r="B384" s="1">
        <v>9690</v>
      </c>
      <c r="C384" t="s">
        <v>75</v>
      </c>
      <c r="D384" t="s">
        <v>17</v>
      </c>
    </row>
    <row r="385" spans="1:4" x14ac:dyDescent="0.25">
      <c r="A385" s="2" t="s">
        <v>92</v>
      </c>
      <c r="B385" s="1">
        <v>9685</v>
      </c>
      <c r="C385" t="s">
        <v>75</v>
      </c>
      <c r="D385" t="s">
        <v>17</v>
      </c>
    </row>
    <row r="386" spans="1:4" x14ac:dyDescent="0.25">
      <c r="A386" s="2" t="s">
        <v>93</v>
      </c>
      <c r="B386" s="1">
        <v>9685</v>
      </c>
      <c r="C386" t="s">
        <v>75</v>
      </c>
      <c r="D386" t="s">
        <v>17</v>
      </c>
    </row>
    <row r="387" spans="1:4" x14ac:dyDescent="0.25">
      <c r="A387" s="2" t="s">
        <v>94</v>
      </c>
      <c r="B387" s="1">
        <v>9685</v>
      </c>
      <c r="C387" t="s">
        <v>75</v>
      </c>
      <c r="D387" t="s">
        <v>17</v>
      </c>
    </row>
    <row r="388" spans="1:4" x14ac:dyDescent="0.25">
      <c r="A388" s="2" t="s">
        <v>95</v>
      </c>
      <c r="B388" s="1">
        <v>9680</v>
      </c>
      <c r="C388" t="s">
        <v>75</v>
      </c>
      <c r="D388" t="s">
        <v>17</v>
      </c>
    </row>
    <row r="389" spans="1:4" x14ac:dyDescent="0.25">
      <c r="A389" s="2" t="s">
        <v>96</v>
      </c>
      <c r="B389" s="1">
        <v>9640</v>
      </c>
      <c r="C389" t="s">
        <v>75</v>
      </c>
      <c r="D389" t="s">
        <v>17</v>
      </c>
    </row>
    <row r="390" spans="1:4" x14ac:dyDescent="0.25">
      <c r="A390" s="2" t="s">
        <v>97</v>
      </c>
      <c r="B390" s="1">
        <v>9635</v>
      </c>
      <c r="C390" t="s">
        <v>75</v>
      </c>
      <c r="D390" t="s">
        <v>17</v>
      </c>
    </row>
    <row r="391" spans="1:4" x14ac:dyDescent="0.25">
      <c r="A391" s="2" t="s">
        <v>98</v>
      </c>
      <c r="B391" s="1">
        <v>9635</v>
      </c>
      <c r="C391" t="s">
        <v>75</v>
      </c>
      <c r="D391" t="s">
        <v>17</v>
      </c>
    </row>
    <row r="392" spans="1:4" x14ac:dyDescent="0.25">
      <c r="A392" s="2" t="s">
        <v>99</v>
      </c>
      <c r="B392" s="1">
        <v>9643</v>
      </c>
      <c r="C392" t="s">
        <v>75</v>
      </c>
      <c r="D392" t="s">
        <v>17</v>
      </c>
    </row>
    <row r="393" spans="1:4" x14ac:dyDescent="0.25">
      <c r="A393" s="2" t="s">
        <v>100</v>
      </c>
      <c r="B393" s="1">
        <v>9643</v>
      </c>
      <c r="C393" t="s">
        <v>75</v>
      </c>
      <c r="D393" t="s">
        <v>17</v>
      </c>
    </row>
    <row r="394" spans="1:4" x14ac:dyDescent="0.25">
      <c r="A394" s="2" t="s">
        <v>101</v>
      </c>
      <c r="B394" s="1">
        <v>9643</v>
      </c>
      <c r="C394" t="s">
        <v>75</v>
      </c>
      <c r="D394" t="s">
        <v>17</v>
      </c>
    </row>
    <row r="395" spans="1:4" x14ac:dyDescent="0.25">
      <c r="A395" s="2" t="s">
        <v>102</v>
      </c>
      <c r="B395" s="1">
        <v>9670</v>
      </c>
      <c r="C395" t="s">
        <v>75</v>
      </c>
      <c r="D395" t="s">
        <v>17</v>
      </c>
    </row>
    <row r="396" spans="1:4" x14ac:dyDescent="0.25">
      <c r="A396" s="2" t="s">
        <v>103</v>
      </c>
      <c r="B396" s="1">
        <v>9680</v>
      </c>
      <c r="C396" t="s">
        <v>75</v>
      </c>
      <c r="D396" t="s">
        <v>17</v>
      </c>
    </row>
    <row r="397" spans="1:4" x14ac:dyDescent="0.25">
      <c r="A397" s="2" t="s">
        <v>104</v>
      </c>
      <c r="B397" s="1">
        <v>9690</v>
      </c>
      <c r="C397" t="s">
        <v>75</v>
      </c>
      <c r="D397" t="s">
        <v>17</v>
      </c>
    </row>
    <row r="398" spans="1:4" x14ac:dyDescent="0.25">
      <c r="A398" s="2" t="s">
        <v>105</v>
      </c>
      <c r="B398" s="1">
        <v>9698</v>
      </c>
      <c r="C398" t="s">
        <v>75</v>
      </c>
      <c r="D398" t="s">
        <v>17</v>
      </c>
    </row>
    <row r="399" spans="1:4" x14ac:dyDescent="0.25">
      <c r="A399" s="2" t="s">
        <v>106</v>
      </c>
      <c r="B399" s="1">
        <v>9700</v>
      </c>
      <c r="C399" t="s">
        <v>107</v>
      </c>
      <c r="D399" t="s">
        <v>17</v>
      </c>
    </row>
    <row r="400" spans="1:4" x14ac:dyDescent="0.25">
      <c r="A400" s="2" t="s">
        <v>108</v>
      </c>
      <c r="B400" s="1">
        <v>9700</v>
      </c>
      <c r="C400" t="s">
        <v>107</v>
      </c>
      <c r="D400" t="s">
        <v>17</v>
      </c>
    </row>
    <row r="401" spans="1:4" x14ac:dyDescent="0.25">
      <c r="A401" s="2" t="s">
        <v>109</v>
      </c>
      <c r="B401" s="1">
        <v>9700</v>
      </c>
      <c r="C401" t="s">
        <v>107</v>
      </c>
      <c r="D401" t="s">
        <v>17</v>
      </c>
    </row>
    <row r="402" spans="1:4" x14ac:dyDescent="0.25">
      <c r="A402" s="2" t="s">
        <v>110</v>
      </c>
      <c r="B402" s="1">
        <v>9673</v>
      </c>
      <c r="C402" t="s">
        <v>107</v>
      </c>
      <c r="D402" t="s">
        <v>17</v>
      </c>
    </row>
    <row r="403" spans="1:4" x14ac:dyDescent="0.25">
      <c r="A403" s="2" t="s">
        <v>111</v>
      </c>
      <c r="B403" s="1">
        <v>9697</v>
      </c>
      <c r="C403" t="s">
        <v>107</v>
      </c>
      <c r="D403" t="s">
        <v>17</v>
      </c>
    </row>
    <row r="404" spans="1:4" x14ac:dyDescent="0.25">
      <c r="A404" s="2" t="s">
        <v>112</v>
      </c>
      <c r="B404" s="1">
        <v>9686</v>
      </c>
      <c r="C404" t="s">
        <v>107</v>
      </c>
      <c r="D404" t="s">
        <v>17</v>
      </c>
    </row>
    <row r="405" spans="1:4" x14ac:dyDescent="0.25">
      <c r="A405" s="2" t="s">
        <v>113</v>
      </c>
      <c r="B405" s="1">
        <v>9725</v>
      </c>
      <c r="C405" t="s">
        <v>107</v>
      </c>
      <c r="D405" t="s">
        <v>17</v>
      </c>
    </row>
    <row r="406" spans="1:4" x14ac:dyDescent="0.25">
      <c r="A406" s="2" t="s">
        <v>114</v>
      </c>
      <c r="B406" s="1">
        <v>9685</v>
      </c>
      <c r="C406" t="s">
        <v>107</v>
      </c>
      <c r="D406" t="s">
        <v>17</v>
      </c>
    </row>
    <row r="407" spans="1:4" x14ac:dyDescent="0.25">
      <c r="A407" s="2" t="s">
        <v>115</v>
      </c>
      <c r="B407" s="1">
        <v>9685</v>
      </c>
      <c r="C407" t="s">
        <v>107</v>
      </c>
      <c r="D407" t="s">
        <v>17</v>
      </c>
    </row>
    <row r="408" spans="1:4" x14ac:dyDescent="0.25">
      <c r="A408" s="2" t="s">
        <v>116</v>
      </c>
      <c r="B408" s="1">
        <v>9685</v>
      </c>
      <c r="C408" t="s">
        <v>107</v>
      </c>
      <c r="D408" t="s">
        <v>17</v>
      </c>
    </row>
    <row r="409" spans="1:4" x14ac:dyDescent="0.25">
      <c r="A409" s="2" t="s">
        <v>117</v>
      </c>
      <c r="B409" s="1">
        <v>9658</v>
      </c>
      <c r="C409" t="s">
        <v>107</v>
      </c>
      <c r="D409" t="s">
        <v>17</v>
      </c>
    </row>
    <row r="410" spans="1:4" x14ac:dyDescent="0.25">
      <c r="A410" s="2" t="s">
        <v>118</v>
      </c>
      <c r="B410" s="1">
        <v>9634</v>
      </c>
      <c r="C410" t="s">
        <v>107</v>
      </c>
      <c r="D410" t="s">
        <v>17</v>
      </c>
    </row>
    <row r="411" spans="1:4" x14ac:dyDescent="0.25">
      <c r="A411" s="2" t="s">
        <v>119</v>
      </c>
      <c r="B411" s="1">
        <v>9644</v>
      </c>
      <c r="C411" t="s">
        <v>107</v>
      </c>
      <c r="D411" t="s">
        <v>17</v>
      </c>
    </row>
    <row r="412" spans="1:4" x14ac:dyDescent="0.25">
      <c r="A412" s="2" t="s">
        <v>120</v>
      </c>
      <c r="B412" s="1">
        <v>9665</v>
      </c>
      <c r="C412" t="s">
        <v>107</v>
      </c>
      <c r="D412" t="s">
        <v>17</v>
      </c>
    </row>
    <row r="413" spans="1:4" x14ac:dyDescent="0.25">
      <c r="A413" s="2" t="s">
        <v>121</v>
      </c>
      <c r="B413" s="1">
        <v>9684</v>
      </c>
      <c r="C413" t="s">
        <v>107</v>
      </c>
      <c r="D413" t="s">
        <v>17</v>
      </c>
    </row>
    <row r="414" spans="1:4" x14ac:dyDescent="0.25">
      <c r="A414" s="2" t="s">
        <v>122</v>
      </c>
      <c r="B414" s="1">
        <v>9684</v>
      </c>
      <c r="C414" t="s">
        <v>107</v>
      </c>
      <c r="D414" t="s">
        <v>17</v>
      </c>
    </row>
    <row r="415" spans="1:4" x14ac:dyDescent="0.25">
      <c r="A415" s="2" t="s">
        <v>123</v>
      </c>
      <c r="B415" s="1">
        <v>9684</v>
      </c>
      <c r="C415" t="s">
        <v>107</v>
      </c>
      <c r="D415" t="s">
        <v>17</v>
      </c>
    </row>
    <row r="416" spans="1:4" x14ac:dyDescent="0.25">
      <c r="A416" s="2" t="s">
        <v>124</v>
      </c>
      <c r="B416" s="1">
        <v>9680</v>
      </c>
      <c r="C416" t="s">
        <v>107</v>
      </c>
      <c r="D416" t="s">
        <v>17</v>
      </c>
    </row>
    <row r="417" spans="1:4" x14ac:dyDescent="0.25">
      <c r="A417" s="2" t="s">
        <v>125</v>
      </c>
      <c r="B417" s="1">
        <v>9713</v>
      </c>
      <c r="C417" t="s">
        <v>107</v>
      </c>
      <c r="D417" t="s">
        <v>17</v>
      </c>
    </row>
    <row r="418" spans="1:4" x14ac:dyDescent="0.25">
      <c r="A418" s="2" t="s">
        <v>126</v>
      </c>
      <c r="B418" s="1">
        <v>9704</v>
      </c>
      <c r="C418" t="s">
        <v>107</v>
      </c>
      <c r="D418" t="s">
        <v>17</v>
      </c>
    </row>
    <row r="419" spans="1:4" x14ac:dyDescent="0.25">
      <c r="A419" s="2" t="s">
        <v>127</v>
      </c>
      <c r="B419" s="1">
        <v>9703</v>
      </c>
      <c r="C419" t="s">
        <v>107</v>
      </c>
      <c r="D419" t="s">
        <v>17</v>
      </c>
    </row>
    <row r="420" spans="1:4" x14ac:dyDescent="0.25">
      <c r="A420" s="2" t="s">
        <v>128</v>
      </c>
      <c r="B420" s="1">
        <v>9713</v>
      </c>
      <c r="C420" t="s">
        <v>107</v>
      </c>
      <c r="D420" t="s">
        <v>17</v>
      </c>
    </row>
    <row r="421" spans="1:4" x14ac:dyDescent="0.25">
      <c r="A421" s="2" t="s">
        <v>129</v>
      </c>
      <c r="B421" s="1">
        <v>9713</v>
      </c>
      <c r="C421" t="s">
        <v>107</v>
      </c>
      <c r="D421" t="s">
        <v>17</v>
      </c>
    </row>
    <row r="422" spans="1:4" x14ac:dyDescent="0.25">
      <c r="A422" s="2" t="s">
        <v>130</v>
      </c>
      <c r="B422" s="1">
        <v>9713</v>
      </c>
      <c r="C422" t="s">
        <v>107</v>
      </c>
      <c r="D422" t="s">
        <v>17</v>
      </c>
    </row>
    <row r="423" spans="1:4" x14ac:dyDescent="0.25">
      <c r="A423" s="2" t="s">
        <v>131</v>
      </c>
      <c r="B423" s="1">
        <v>9713</v>
      </c>
      <c r="C423" t="s">
        <v>107</v>
      </c>
      <c r="D423" t="s">
        <v>17</v>
      </c>
    </row>
    <row r="424" spans="1:4" x14ac:dyDescent="0.25">
      <c r="A424" s="2" t="s">
        <v>132</v>
      </c>
      <c r="B424" s="1">
        <v>9705</v>
      </c>
      <c r="C424" t="s">
        <v>107</v>
      </c>
      <c r="D424" t="s">
        <v>17</v>
      </c>
    </row>
    <row r="425" spans="1:4" x14ac:dyDescent="0.25">
      <c r="A425" s="2" t="s">
        <v>133</v>
      </c>
      <c r="B425" s="1">
        <v>9684</v>
      </c>
      <c r="C425" t="s">
        <v>107</v>
      </c>
      <c r="D425" t="s">
        <v>17</v>
      </c>
    </row>
    <row r="426" spans="1:4" x14ac:dyDescent="0.25">
      <c r="A426" s="2" t="s">
        <v>134</v>
      </c>
      <c r="B426" s="1">
        <v>9667</v>
      </c>
      <c r="C426" t="s">
        <v>107</v>
      </c>
      <c r="D426" t="s">
        <v>17</v>
      </c>
    </row>
    <row r="427" spans="1:4" x14ac:dyDescent="0.25">
      <c r="A427" s="2" t="s">
        <v>135</v>
      </c>
      <c r="B427" s="1">
        <v>9678</v>
      </c>
      <c r="C427" t="s">
        <v>136</v>
      </c>
      <c r="D427" t="s">
        <v>17</v>
      </c>
    </row>
    <row r="428" spans="1:4" x14ac:dyDescent="0.25">
      <c r="A428" s="2" t="s">
        <v>137</v>
      </c>
      <c r="B428" s="1">
        <v>9678</v>
      </c>
      <c r="C428" t="s">
        <v>136</v>
      </c>
      <c r="D428" t="s">
        <v>17</v>
      </c>
    </row>
    <row r="429" spans="1:4" x14ac:dyDescent="0.25">
      <c r="A429" s="2" t="s">
        <v>138</v>
      </c>
      <c r="B429" s="1">
        <v>9678</v>
      </c>
      <c r="C429" t="s">
        <v>136</v>
      </c>
      <c r="D429" t="s">
        <v>17</v>
      </c>
    </row>
    <row r="430" spans="1:4" x14ac:dyDescent="0.25">
      <c r="A430" s="2" t="s">
        <v>139</v>
      </c>
      <c r="B430" s="1">
        <v>9704</v>
      </c>
      <c r="C430" t="s">
        <v>136</v>
      </c>
      <c r="D430" t="s">
        <v>17</v>
      </c>
    </row>
    <row r="431" spans="1:4" x14ac:dyDescent="0.25">
      <c r="A431" s="2" t="s">
        <v>140</v>
      </c>
      <c r="B431" s="1">
        <v>9705</v>
      </c>
      <c r="C431" t="s">
        <v>136</v>
      </c>
      <c r="D431" t="s">
        <v>17</v>
      </c>
    </row>
    <row r="432" spans="1:4" x14ac:dyDescent="0.25">
      <c r="A432" s="2" t="s">
        <v>141</v>
      </c>
      <c r="B432" s="1">
        <v>9686</v>
      </c>
      <c r="C432" t="s">
        <v>136</v>
      </c>
      <c r="D432" t="s">
        <v>17</v>
      </c>
    </row>
    <row r="433" spans="1:4" x14ac:dyDescent="0.25">
      <c r="A433" s="2" t="s">
        <v>142</v>
      </c>
      <c r="B433" s="1">
        <v>9697</v>
      </c>
      <c r="C433" t="s">
        <v>136</v>
      </c>
      <c r="D433" t="s">
        <v>17</v>
      </c>
    </row>
    <row r="434" spans="1:4" x14ac:dyDescent="0.25">
      <c r="A434" s="2" t="s">
        <v>143</v>
      </c>
      <c r="B434" s="1">
        <v>9688</v>
      </c>
      <c r="C434" t="s">
        <v>136</v>
      </c>
      <c r="D434" t="s">
        <v>17</v>
      </c>
    </row>
    <row r="435" spans="1:4" x14ac:dyDescent="0.25">
      <c r="A435" s="2" t="s">
        <v>144</v>
      </c>
      <c r="B435" s="1">
        <v>9688</v>
      </c>
      <c r="C435" t="s">
        <v>136</v>
      </c>
      <c r="D435" t="s">
        <v>17</v>
      </c>
    </row>
    <row r="436" spans="1:4" x14ac:dyDescent="0.25">
      <c r="A436" s="2" t="s">
        <v>145</v>
      </c>
      <c r="B436" s="1">
        <v>9688</v>
      </c>
      <c r="C436" t="s">
        <v>136</v>
      </c>
      <c r="D436" t="s">
        <v>17</v>
      </c>
    </row>
    <row r="437" spans="1:4" x14ac:dyDescent="0.25">
      <c r="A437" s="2" t="s">
        <v>146</v>
      </c>
      <c r="B437" s="1">
        <v>9688</v>
      </c>
      <c r="C437" t="s">
        <v>136</v>
      </c>
      <c r="D437" t="s">
        <v>17</v>
      </c>
    </row>
    <row r="438" spans="1:4" x14ac:dyDescent="0.25">
      <c r="A438" s="2" t="s">
        <v>147</v>
      </c>
      <c r="B438" s="1">
        <v>9688</v>
      </c>
      <c r="C438" t="s">
        <v>136</v>
      </c>
      <c r="D438" t="s">
        <v>17</v>
      </c>
    </row>
    <row r="439" spans="1:4" x14ac:dyDescent="0.25">
      <c r="A439" s="2" t="s">
        <v>148</v>
      </c>
      <c r="B439" s="1">
        <v>9698</v>
      </c>
      <c r="C439" t="s">
        <v>136</v>
      </c>
      <c r="D439" t="s">
        <v>17</v>
      </c>
    </row>
    <row r="440" spans="1:4" x14ac:dyDescent="0.25">
      <c r="A440" s="2" t="s">
        <v>149</v>
      </c>
      <c r="B440" s="1">
        <v>9703</v>
      </c>
      <c r="C440" t="s">
        <v>136</v>
      </c>
      <c r="D440" t="s">
        <v>17</v>
      </c>
    </row>
    <row r="441" spans="1:4" x14ac:dyDescent="0.25">
      <c r="A441" s="2" t="s">
        <v>150</v>
      </c>
      <c r="B441" s="1">
        <v>9700</v>
      </c>
      <c r="C441" t="s">
        <v>136</v>
      </c>
      <c r="D441" t="s">
        <v>17</v>
      </c>
    </row>
    <row r="442" spans="1:4" x14ac:dyDescent="0.25">
      <c r="A442" s="2" t="s">
        <v>151</v>
      </c>
      <c r="B442" s="1">
        <v>9700</v>
      </c>
      <c r="C442" t="s">
        <v>136</v>
      </c>
      <c r="D442" t="s">
        <v>17</v>
      </c>
    </row>
    <row r="443" spans="1:4" x14ac:dyDescent="0.25">
      <c r="A443" s="2" t="s">
        <v>152</v>
      </c>
      <c r="B443" s="1">
        <v>9700</v>
      </c>
      <c r="C443" t="s">
        <v>136</v>
      </c>
      <c r="D443" t="s">
        <v>17</v>
      </c>
    </row>
    <row r="444" spans="1:4" x14ac:dyDescent="0.25">
      <c r="A444" s="2" t="s">
        <v>153</v>
      </c>
      <c r="B444" s="1">
        <v>9718</v>
      </c>
      <c r="C444" t="s">
        <v>136</v>
      </c>
      <c r="D444" t="s">
        <v>17</v>
      </c>
    </row>
    <row r="445" spans="1:4" x14ac:dyDescent="0.25">
      <c r="A445" s="2" t="s">
        <v>154</v>
      </c>
      <c r="B445" s="1">
        <v>9705</v>
      </c>
      <c r="C445" t="s">
        <v>136</v>
      </c>
      <c r="D445" t="s">
        <v>17</v>
      </c>
    </row>
    <row r="446" spans="1:4" x14ac:dyDescent="0.25">
      <c r="A446" s="2" t="s">
        <v>155</v>
      </c>
      <c r="B446" s="1">
        <v>9723</v>
      </c>
      <c r="C446" t="s">
        <v>136</v>
      </c>
      <c r="D446" t="s">
        <v>17</v>
      </c>
    </row>
    <row r="447" spans="1:4" x14ac:dyDescent="0.25">
      <c r="A447" s="2" t="s">
        <v>156</v>
      </c>
      <c r="B447" s="1">
        <v>9726</v>
      </c>
      <c r="C447" t="s">
        <v>136</v>
      </c>
      <c r="D447" t="s">
        <v>17</v>
      </c>
    </row>
    <row r="448" spans="1:4" x14ac:dyDescent="0.25">
      <c r="A448" s="2" t="s">
        <v>157</v>
      </c>
      <c r="B448" s="1">
        <v>9743</v>
      </c>
      <c r="C448" t="s">
        <v>136</v>
      </c>
      <c r="D448" t="s">
        <v>17</v>
      </c>
    </row>
    <row r="449" spans="1:4" x14ac:dyDescent="0.25">
      <c r="A449" s="2" t="s">
        <v>158</v>
      </c>
      <c r="B449" s="1">
        <v>9743</v>
      </c>
      <c r="C449" t="s">
        <v>136</v>
      </c>
      <c r="D449" t="s">
        <v>17</v>
      </c>
    </row>
    <row r="450" spans="1:4" x14ac:dyDescent="0.25">
      <c r="A450" s="2" t="s">
        <v>159</v>
      </c>
      <c r="B450" s="1">
        <v>9743</v>
      </c>
      <c r="C450" t="s">
        <v>136</v>
      </c>
      <c r="D450" t="s">
        <v>17</v>
      </c>
    </row>
    <row r="451" spans="1:4" x14ac:dyDescent="0.25">
      <c r="A451" s="2" t="s">
        <v>160</v>
      </c>
      <c r="B451" s="1">
        <v>9728</v>
      </c>
      <c r="C451" t="s">
        <v>136</v>
      </c>
      <c r="D451" t="s">
        <v>17</v>
      </c>
    </row>
    <row r="452" spans="1:4" x14ac:dyDescent="0.25">
      <c r="A452" s="2" t="s">
        <v>161</v>
      </c>
      <c r="B452" s="1">
        <v>9745</v>
      </c>
      <c r="C452" t="s">
        <v>136</v>
      </c>
      <c r="D452" t="s">
        <v>17</v>
      </c>
    </row>
    <row r="453" spans="1:4" x14ac:dyDescent="0.25">
      <c r="A453" s="2" t="s">
        <v>162</v>
      </c>
      <c r="B453" s="1">
        <v>9725</v>
      </c>
      <c r="C453" t="s">
        <v>136</v>
      </c>
      <c r="D453" t="s">
        <v>17</v>
      </c>
    </row>
    <row r="454" spans="1:4" x14ac:dyDescent="0.25">
      <c r="A454" s="2" t="s">
        <v>163</v>
      </c>
      <c r="B454" s="1">
        <v>9719</v>
      </c>
      <c r="C454" t="s">
        <v>136</v>
      </c>
      <c r="D454" t="s">
        <v>17</v>
      </c>
    </row>
    <row r="455" spans="1:4" x14ac:dyDescent="0.25">
      <c r="A455" s="2" t="s">
        <v>164</v>
      </c>
      <c r="B455" s="1">
        <v>9719</v>
      </c>
      <c r="C455" t="s">
        <v>136</v>
      </c>
      <c r="D455" t="s">
        <v>17</v>
      </c>
    </row>
    <row r="456" spans="1:4" x14ac:dyDescent="0.25">
      <c r="A456" s="2" t="s">
        <v>165</v>
      </c>
      <c r="B456" s="1">
        <v>9719</v>
      </c>
      <c r="C456" t="s">
        <v>136</v>
      </c>
      <c r="D456" t="s">
        <v>17</v>
      </c>
    </row>
    <row r="457" spans="1:4" x14ac:dyDescent="0.25">
      <c r="A457" s="2" t="s">
        <v>166</v>
      </c>
      <c r="B457" s="1">
        <v>9719</v>
      </c>
      <c r="C457" t="s">
        <v>136</v>
      </c>
      <c r="D457" t="s">
        <v>17</v>
      </c>
    </row>
    <row r="458" spans="1:4" x14ac:dyDescent="0.25">
      <c r="A458" s="2" t="s">
        <v>167</v>
      </c>
      <c r="B458" s="1">
        <v>9735</v>
      </c>
      <c r="C458" t="s">
        <v>168</v>
      </c>
      <c r="D458" t="s">
        <v>18</v>
      </c>
    </row>
    <row r="459" spans="1:4" x14ac:dyDescent="0.25">
      <c r="A459" s="2" t="s">
        <v>169</v>
      </c>
      <c r="B459" s="1">
        <v>9737</v>
      </c>
      <c r="C459" t="s">
        <v>168</v>
      </c>
      <c r="D459" t="s">
        <v>18</v>
      </c>
    </row>
    <row r="460" spans="1:4" x14ac:dyDescent="0.25">
      <c r="A460" s="2" t="s">
        <v>170</v>
      </c>
      <c r="B460" s="1">
        <v>9743</v>
      </c>
      <c r="C460" t="s">
        <v>168</v>
      </c>
      <c r="D460" t="s">
        <v>18</v>
      </c>
    </row>
    <row r="461" spans="1:4" x14ac:dyDescent="0.25">
      <c r="A461" s="2" t="s">
        <v>171</v>
      </c>
      <c r="B461" s="1">
        <v>9749</v>
      </c>
      <c r="C461" t="s">
        <v>168</v>
      </c>
      <c r="D461" t="s">
        <v>18</v>
      </c>
    </row>
    <row r="462" spans="1:4" x14ac:dyDescent="0.25">
      <c r="A462" s="2" t="s">
        <v>172</v>
      </c>
      <c r="B462" s="1">
        <v>9753</v>
      </c>
      <c r="C462" t="s">
        <v>168</v>
      </c>
      <c r="D462" t="s">
        <v>18</v>
      </c>
    </row>
    <row r="463" spans="1:4" x14ac:dyDescent="0.25">
      <c r="A463" s="2" t="s">
        <v>173</v>
      </c>
      <c r="B463" s="1">
        <v>9753</v>
      </c>
      <c r="C463" t="s">
        <v>168</v>
      </c>
      <c r="D463" t="s">
        <v>18</v>
      </c>
    </row>
    <row r="464" spans="1:4" x14ac:dyDescent="0.25">
      <c r="A464" s="2" t="s">
        <v>174</v>
      </c>
      <c r="B464" s="1">
        <v>9753</v>
      </c>
      <c r="C464" t="s">
        <v>168</v>
      </c>
      <c r="D464" t="s">
        <v>18</v>
      </c>
    </row>
    <row r="465" spans="1:4" x14ac:dyDescent="0.25">
      <c r="A465" s="2" t="s">
        <v>175</v>
      </c>
      <c r="B465" s="1">
        <v>9756</v>
      </c>
      <c r="C465" t="s">
        <v>168</v>
      </c>
      <c r="D465" t="s">
        <v>18</v>
      </c>
    </row>
    <row r="466" spans="1:4" x14ac:dyDescent="0.25">
      <c r="A466" s="2" t="s">
        <v>176</v>
      </c>
      <c r="B466" s="1">
        <v>9743</v>
      </c>
      <c r="C466" t="s">
        <v>168</v>
      </c>
      <c r="D466" t="s">
        <v>18</v>
      </c>
    </row>
    <row r="467" spans="1:4" x14ac:dyDescent="0.25">
      <c r="A467" s="2" t="s">
        <v>177</v>
      </c>
      <c r="B467" s="1">
        <v>9692</v>
      </c>
      <c r="C467" t="s">
        <v>168</v>
      </c>
      <c r="D467" t="s">
        <v>18</v>
      </c>
    </row>
    <row r="468" spans="1:4" x14ac:dyDescent="0.25">
      <c r="A468" s="2" t="s">
        <v>178</v>
      </c>
      <c r="B468" s="1">
        <v>9688</v>
      </c>
      <c r="C468" t="s">
        <v>168</v>
      </c>
      <c r="D468" t="s">
        <v>18</v>
      </c>
    </row>
    <row r="469" spans="1:4" x14ac:dyDescent="0.25">
      <c r="A469" s="2" t="s">
        <v>179</v>
      </c>
      <c r="B469" s="1">
        <v>9710</v>
      </c>
      <c r="C469" t="s">
        <v>168</v>
      </c>
      <c r="D469" t="s">
        <v>18</v>
      </c>
    </row>
    <row r="470" spans="1:4" x14ac:dyDescent="0.25">
      <c r="A470" s="2" t="s">
        <v>180</v>
      </c>
      <c r="B470" s="1">
        <v>9710</v>
      </c>
      <c r="C470" t="s">
        <v>168</v>
      </c>
      <c r="D470" t="s">
        <v>18</v>
      </c>
    </row>
    <row r="471" spans="1:4" x14ac:dyDescent="0.25">
      <c r="A471" s="2" t="s">
        <v>181</v>
      </c>
      <c r="B471" s="1">
        <v>9710</v>
      </c>
      <c r="C471" t="s">
        <v>168</v>
      </c>
      <c r="D471" t="s">
        <v>18</v>
      </c>
    </row>
    <row r="472" spans="1:4" x14ac:dyDescent="0.25">
      <c r="A472" s="2" t="s">
        <v>182</v>
      </c>
      <c r="B472" s="1">
        <v>9710</v>
      </c>
      <c r="C472" t="s">
        <v>168</v>
      </c>
      <c r="D472" t="s">
        <v>18</v>
      </c>
    </row>
    <row r="473" spans="1:4" x14ac:dyDescent="0.25">
      <c r="A473" s="2" t="s">
        <v>183</v>
      </c>
      <c r="B473" s="1">
        <v>9723</v>
      </c>
      <c r="C473" t="s">
        <v>168</v>
      </c>
      <c r="D473" t="s">
        <v>18</v>
      </c>
    </row>
    <row r="474" spans="1:4" x14ac:dyDescent="0.25">
      <c r="A474" s="2" t="s">
        <v>184</v>
      </c>
      <c r="B474" s="1">
        <v>9710</v>
      </c>
      <c r="C474" t="s">
        <v>168</v>
      </c>
      <c r="D474" t="s">
        <v>18</v>
      </c>
    </row>
    <row r="475" spans="1:4" x14ac:dyDescent="0.25">
      <c r="A475" s="2" t="s">
        <v>185</v>
      </c>
      <c r="B475" s="1">
        <v>9723</v>
      </c>
      <c r="C475" t="s">
        <v>168</v>
      </c>
      <c r="D475" t="s">
        <v>18</v>
      </c>
    </row>
    <row r="476" spans="1:4" x14ac:dyDescent="0.25">
      <c r="A476" s="2" t="s">
        <v>186</v>
      </c>
      <c r="B476" s="1">
        <v>9709</v>
      </c>
      <c r="C476" t="s">
        <v>168</v>
      </c>
      <c r="D476" t="s">
        <v>18</v>
      </c>
    </row>
    <row r="477" spans="1:4" x14ac:dyDescent="0.25">
      <c r="A477" s="2" t="s">
        <v>187</v>
      </c>
      <c r="B477" s="1">
        <v>9709</v>
      </c>
      <c r="C477" t="s">
        <v>168</v>
      </c>
      <c r="D477" t="s">
        <v>18</v>
      </c>
    </row>
    <row r="478" spans="1:4" x14ac:dyDescent="0.25">
      <c r="A478" s="2" t="s">
        <v>188</v>
      </c>
      <c r="B478" s="1">
        <v>9709</v>
      </c>
      <c r="C478" t="s">
        <v>168</v>
      </c>
      <c r="D478" t="s">
        <v>18</v>
      </c>
    </row>
    <row r="479" spans="1:4" x14ac:dyDescent="0.25">
      <c r="A479" s="2" t="s">
        <v>189</v>
      </c>
      <c r="B479" s="1">
        <v>9713</v>
      </c>
      <c r="C479" t="s">
        <v>168</v>
      </c>
      <c r="D479" t="s">
        <v>18</v>
      </c>
    </row>
    <row r="480" spans="1:4" x14ac:dyDescent="0.25">
      <c r="A480" s="2" t="s">
        <v>190</v>
      </c>
      <c r="B480" s="1">
        <v>9728</v>
      </c>
      <c r="C480" t="s">
        <v>168</v>
      </c>
      <c r="D480" t="s">
        <v>18</v>
      </c>
    </row>
    <row r="481" spans="1:4" x14ac:dyDescent="0.25">
      <c r="A481" s="2" t="s">
        <v>191</v>
      </c>
      <c r="B481" s="1">
        <v>9727</v>
      </c>
      <c r="C481" t="s">
        <v>168</v>
      </c>
      <c r="D481" t="s">
        <v>18</v>
      </c>
    </row>
    <row r="482" spans="1:4" x14ac:dyDescent="0.25">
      <c r="A482" s="2" t="s">
        <v>192</v>
      </c>
      <c r="B482" s="1">
        <v>9716</v>
      </c>
      <c r="C482" t="s">
        <v>168</v>
      </c>
      <c r="D482" t="s">
        <v>18</v>
      </c>
    </row>
    <row r="483" spans="1:4" x14ac:dyDescent="0.25">
      <c r="A483" s="2" t="s">
        <v>193</v>
      </c>
      <c r="B483" s="1">
        <v>9721</v>
      </c>
      <c r="C483" t="s">
        <v>168</v>
      </c>
      <c r="D483" t="s">
        <v>18</v>
      </c>
    </row>
    <row r="484" spans="1:4" x14ac:dyDescent="0.25">
      <c r="A484" s="2" t="s">
        <v>194</v>
      </c>
      <c r="B484" s="1">
        <v>9721</v>
      </c>
      <c r="C484" t="s">
        <v>168</v>
      </c>
      <c r="D484" t="s">
        <v>18</v>
      </c>
    </row>
    <row r="485" spans="1:4" x14ac:dyDescent="0.25">
      <c r="A485" s="2" t="s">
        <v>195</v>
      </c>
      <c r="B485" s="1">
        <v>9721</v>
      </c>
      <c r="C485" t="s">
        <v>168</v>
      </c>
      <c r="D485" t="s">
        <v>18</v>
      </c>
    </row>
    <row r="486" spans="1:4" x14ac:dyDescent="0.25">
      <c r="A486" s="2" t="s">
        <v>196</v>
      </c>
      <c r="B486" s="1">
        <v>9721</v>
      </c>
      <c r="C486" t="s">
        <v>168</v>
      </c>
      <c r="D486" t="s">
        <v>18</v>
      </c>
    </row>
    <row r="487" spans="1:4" x14ac:dyDescent="0.25">
      <c r="A487" s="2" t="s">
        <v>197</v>
      </c>
      <c r="B487" s="1">
        <v>9722</v>
      </c>
      <c r="C487" t="s">
        <v>168</v>
      </c>
      <c r="D487" t="s">
        <v>18</v>
      </c>
    </row>
    <row r="488" spans="1:4" x14ac:dyDescent="0.25">
      <c r="A488" s="2" t="s">
        <v>198</v>
      </c>
      <c r="B488" s="1">
        <v>9730</v>
      </c>
      <c r="C488" t="s">
        <v>199</v>
      </c>
      <c r="D488" t="s">
        <v>18</v>
      </c>
    </row>
    <row r="489" spans="1:4" x14ac:dyDescent="0.25">
      <c r="A489" s="2" t="s">
        <v>200</v>
      </c>
      <c r="B489" s="1">
        <v>9728</v>
      </c>
      <c r="C489" t="s">
        <v>199</v>
      </c>
      <c r="D489" t="s">
        <v>18</v>
      </c>
    </row>
    <row r="490" spans="1:4" x14ac:dyDescent="0.25">
      <c r="A490" s="2" t="s">
        <v>201</v>
      </c>
      <c r="B490" s="1">
        <v>9740</v>
      </c>
      <c r="C490" t="s">
        <v>199</v>
      </c>
      <c r="D490" t="s">
        <v>18</v>
      </c>
    </row>
    <row r="491" spans="1:4" x14ac:dyDescent="0.25">
      <c r="A491" s="2" t="s">
        <v>202</v>
      </c>
      <c r="B491" s="1">
        <v>9740</v>
      </c>
      <c r="C491" t="s">
        <v>199</v>
      </c>
      <c r="D491" t="s">
        <v>18</v>
      </c>
    </row>
    <row r="492" spans="1:4" x14ac:dyDescent="0.25">
      <c r="A492" s="2" t="s">
        <v>203</v>
      </c>
      <c r="B492" s="1">
        <v>9740</v>
      </c>
      <c r="C492" t="s">
        <v>199</v>
      </c>
      <c r="D492" t="s">
        <v>18</v>
      </c>
    </row>
    <row r="493" spans="1:4" x14ac:dyDescent="0.25">
      <c r="A493" s="2" t="s">
        <v>204</v>
      </c>
      <c r="B493" s="1">
        <v>9732</v>
      </c>
      <c r="C493" t="s">
        <v>199</v>
      </c>
      <c r="D493" t="s">
        <v>18</v>
      </c>
    </row>
    <row r="494" spans="1:4" x14ac:dyDescent="0.25">
      <c r="A494" s="2" t="s">
        <v>205</v>
      </c>
      <c r="B494" s="1">
        <v>9741</v>
      </c>
      <c r="C494" t="s">
        <v>199</v>
      </c>
      <c r="D494" t="s">
        <v>18</v>
      </c>
    </row>
    <row r="495" spans="1:4" x14ac:dyDescent="0.25">
      <c r="A495" s="2" t="s">
        <v>206</v>
      </c>
      <c r="B495" s="1">
        <v>9734</v>
      </c>
      <c r="C495" t="s">
        <v>199</v>
      </c>
      <c r="D495" t="s">
        <v>18</v>
      </c>
    </row>
    <row r="496" spans="1:4" x14ac:dyDescent="0.25">
      <c r="A496" s="2" t="s">
        <v>207</v>
      </c>
      <c r="B496" s="1">
        <v>9734</v>
      </c>
      <c r="C496" t="s">
        <v>199</v>
      </c>
      <c r="D496" t="s">
        <v>18</v>
      </c>
    </row>
    <row r="497" spans="1:4" x14ac:dyDescent="0.25">
      <c r="A497" s="2" t="s">
        <v>208</v>
      </c>
      <c r="B497" s="1">
        <v>9738</v>
      </c>
      <c r="C497" t="s">
        <v>199</v>
      </c>
      <c r="D497" t="s">
        <v>18</v>
      </c>
    </row>
    <row r="498" spans="1:4" x14ac:dyDescent="0.25">
      <c r="A498" s="2" t="s">
        <v>209</v>
      </c>
      <c r="B498" s="1">
        <v>9738</v>
      </c>
      <c r="C498" t="s">
        <v>199</v>
      </c>
      <c r="D498" t="s">
        <v>18</v>
      </c>
    </row>
    <row r="499" spans="1:4" x14ac:dyDescent="0.25">
      <c r="A499" s="2" t="s">
        <v>210</v>
      </c>
      <c r="B499" s="1">
        <v>9738</v>
      </c>
      <c r="C499" t="s">
        <v>199</v>
      </c>
      <c r="D499" t="s">
        <v>18</v>
      </c>
    </row>
    <row r="500" spans="1:4" x14ac:dyDescent="0.25">
      <c r="A500" s="2" t="s">
        <v>211</v>
      </c>
      <c r="B500" s="1">
        <v>9740</v>
      </c>
      <c r="C500" t="s">
        <v>199</v>
      </c>
      <c r="D500" t="s">
        <v>18</v>
      </c>
    </row>
    <row r="501" spans="1:4" x14ac:dyDescent="0.25">
      <c r="A501" s="2" t="s">
        <v>212</v>
      </c>
      <c r="B501" s="1">
        <v>9735</v>
      </c>
      <c r="C501" t="s">
        <v>199</v>
      </c>
      <c r="D501" t="s">
        <v>18</v>
      </c>
    </row>
    <row r="502" spans="1:4" x14ac:dyDescent="0.25">
      <c r="A502" s="2" t="s">
        <v>213</v>
      </c>
      <c r="B502" s="1">
        <v>9748</v>
      </c>
      <c r="C502" t="s">
        <v>199</v>
      </c>
      <c r="D502" t="s">
        <v>18</v>
      </c>
    </row>
    <row r="503" spans="1:4" x14ac:dyDescent="0.25">
      <c r="A503" s="2" t="s">
        <v>214</v>
      </c>
      <c r="B503" s="1">
        <v>9750</v>
      </c>
      <c r="C503" t="s">
        <v>199</v>
      </c>
      <c r="D503" t="s">
        <v>18</v>
      </c>
    </row>
    <row r="504" spans="1:4" x14ac:dyDescent="0.25">
      <c r="A504" s="2" t="s">
        <v>215</v>
      </c>
      <c r="B504" s="1">
        <v>9763</v>
      </c>
      <c r="C504" t="s">
        <v>199</v>
      </c>
      <c r="D504" t="s">
        <v>18</v>
      </c>
    </row>
    <row r="505" spans="1:4" x14ac:dyDescent="0.25">
      <c r="A505" s="2" t="s">
        <v>216</v>
      </c>
      <c r="B505" s="1">
        <v>9763</v>
      </c>
      <c r="C505" t="s">
        <v>199</v>
      </c>
      <c r="D505" t="s">
        <v>18</v>
      </c>
    </row>
    <row r="506" spans="1:4" x14ac:dyDescent="0.25">
      <c r="A506" s="2" t="s">
        <v>217</v>
      </c>
      <c r="B506" s="1">
        <v>9763</v>
      </c>
      <c r="C506" t="s">
        <v>199</v>
      </c>
      <c r="D506" t="s">
        <v>18</v>
      </c>
    </row>
    <row r="507" spans="1:4" x14ac:dyDescent="0.25">
      <c r="A507" s="2" t="s">
        <v>218</v>
      </c>
      <c r="B507" s="1">
        <v>9760</v>
      </c>
      <c r="C507" t="s">
        <v>199</v>
      </c>
      <c r="D507" t="s">
        <v>18</v>
      </c>
    </row>
    <row r="508" spans="1:4" x14ac:dyDescent="0.25">
      <c r="A508" s="2" t="s">
        <v>219</v>
      </c>
      <c r="B508" s="1">
        <v>9765</v>
      </c>
      <c r="C508" t="s">
        <v>199</v>
      </c>
      <c r="D508" t="s">
        <v>18</v>
      </c>
    </row>
    <row r="509" spans="1:4" x14ac:dyDescent="0.25">
      <c r="A509" s="2" t="s">
        <v>220</v>
      </c>
      <c r="B509" s="1">
        <v>9765</v>
      </c>
      <c r="C509" t="s">
        <v>199</v>
      </c>
      <c r="D509" t="s">
        <v>18</v>
      </c>
    </row>
    <row r="510" spans="1:4" x14ac:dyDescent="0.25">
      <c r="A510" s="2" t="s">
        <v>221</v>
      </c>
      <c r="B510" s="1">
        <v>9774</v>
      </c>
      <c r="C510" t="s">
        <v>199</v>
      </c>
      <c r="D510" t="s">
        <v>18</v>
      </c>
    </row>
    <row r="511" spans="1:4" x14ac:dyDescent="0.25">
      <c r="A511" s="2" t="s">
        <v>222</v>
      </c>
      <c r="B511" s="1">
        <v>9772</v>
      </c>
      <c r="C511" t="s">
        <v>199</v>
      </c>
      <c r="D511" t="s">
        <v>18</v>
      </c>
    </row>
    <row r="512" spans="1:4" x14ac:dyDescent="0.25">
      <c r="A512" s="2" t="s">
        <v>223</v>
      </c>
      <c r="B512" s="1">
        <v>9772</v>
      </c>
      <c r="C512" t="s">
        <v>199</v>
      </c>
      <c r="D512" t="s">
        <v>18</v>
      </c>
    </row>
    <row r="513" spans="1:4" x14ac:dyDescent="0.25">
      <c r="A513" s="2" t="s">
        <v>224</v>
      </c>
      <c r="B513" s="1">
        <v>9772</v>
      </c>
      <c r="C513" t="s">
        <v>199</v>
      </c>
      <c r="D513" t="s">
        <v>18</v>
      </c>
    </row>
    <row r="514" spans="1:4" x14ac:dyDescent="0.25">
      <c r="A514" s="2" t="s">
        <v>225</v>
      </c>
      <c r="B514" s="1">
        <v>9792</v>
      </c>
      <c r="C514" t="s">
        <v>199</v>
      </c>
      <c r="D514" t="s">
        <v>18</v>
      </c>
    </row>
    <row r="515" spans="1:4" x14ac:dyDescent="0.25">
      <c r="A515" s="2" t="s">
        <v>226</v>
      </c>
      <c r="B515" s="1">
        <v>9810</v>
      </c>
      <c r="C515" t="s">
        <v>199</v>
      </c>
      <c r="D515" t="s">
        <v>18</v>
      </c>
    </row>
    <row r="516" spans="1:4" x14ac:dyDescent="0.25">
      <c r="A516" s="2" t="s">
        <v>227</v>
      </c>
      <c r="B516" s="1">
        <v>9810</v>
      </c>
      <c r="C516" t="s">
        <v>199</v>
      </c>
      <c r="D516" t="s">
        <v>18</v>
      </c>
    </row>
    <row r="517" spans="1:4" x14ac:dyDescent="0.25">
      <c r="A517" s="2" t="s">
        <v>228</v>
      </c>
      <c r="B517" s="1">
        <v>9811</v>
      </c>
      <c r="C517" t="s">
        <v>199</v>
      </c>
      <c r="D517" t="s">
        <v>18</v>
      </c>
    </row>
    <row r="518" spans="1:4" x14ac:dyDescent="0.25">
      <c r="A518" s="2" t="s">
        <v>229</v>
      </c>
      <c r="B518" s="1">
        <v>9802</v>
      </c>
      <c r="C518" t="s">
        <v>199</v>
      </c>
      <c r="D518" t="s">
        <v>18</v>
      </c>
    </row>
    <row r="519" spans="1:4" x14ac:dyDescent="0.25">
      <c r="A519" s="2" t="s">
        <v>230</v>
      </c>
      <c r="B519" s="1">
        <v>9802</v>
      </c>
      <c r="C519" t="s">
        <v>231</v>
      </c>
      <c r="D519" t="s">
        <v>18</v>
      </c>
    </row>
    <row r="520" spans="1:4" x14ac:dyDescent="0.25">
      <c r="A520" s="2" t="s">
        <v>232</v>
      </c>
      <c r="B520" s="1">
        <v>9802</v>
      </c>
      <c r="C520" t="s">
        <v>231</v>
      </c>
      <c r="D520" t="s">
        <v>18</v>
      </c>
    </row>
    <row r="521" spans="1:4" x14ac:dyDescent="0.25">
      <c r="A521" s="2" t="s">
        <v>233</v>
      </c>
      <c r="B521" s="1">
        <v>9811</v>
      </c>
      <c r="C521" t="s">
        <v>231</v>
      </c>
      <c r="D521" t="s">
        <v>18</v>
      </c>
    </row>
    <row r="522" spans="1:4" x14ac:dyDescent="0.25">
      <c r="A522" s="2" t="s">
        <v>234</v>
      </c>
      <c r="B522" s="1">
        <v>9805</v>
      </c>
      <c r="C522" t="s">
        <v>231</v>
      </c>
      <c r="D522" t="s">
        <v>18</v>
      </c>
    </row>
    <row r="523" spans="1:4" x14ac:dyDescent="0.25">
      <c r="A523" s="2" t="s">
        <v>235</v>
      </c>
      <c r="B523" s="1">
        <v>9807</v>
      </c>
      <c r="C523" t="s">
        <v>231</v>
      </c>
      <c r="D523" t="s">
        <v>18</v>
      </c>
    </row>
    <row r="524" spans="1:4" x14ac:dyDescent="0.25">
      <c r="A524" s="2" t="s">
        <v>236</v>
      </c>
      <c r="B524" s="1">
        <v>9807</v>
      </c>
      <c r="C524" t="s">
        <v>231</v>
      </c>
      <c r="D524" t="s">
        <v>18</v>
      </c>
    </row>
    <row r="525" spans="1:4" x14ac:dyDescent="0.25">
      <c r="A525" s="2" t="s">
        <v>237</v>
      </c>
      <c r="B525" s="1">
        <v>9790</v>
      </c>
      <c r="C525" t="s">
        <v>231</v>
      </c>
      <c r="D525" t="s">
        <v>18</v>
      </c>
    </row>
    <row r="526" spans="1:4" x14ac:dyDescent="0.25">
      <c r="A526" s="2" t="s">
        <v>238</v>
      </c>
      <c r="B526" s="1">
        <v>9790</v>
      </c>
      <c r="C526" t="s">
        <v>231</v>
      </c>
      <c r="D526" t="s">
        <v>18</v>
      </c>
    </row>
    <row r="527" spans="1:4" x14ac:dyDescent="0.25">
      <c r="A527" s="2" t="s">
        <v>239</v>
      </c>
      <c r="B527" s="1">
        <v>9790</v>
      </c>
      <c r="C527" t="s">
        <v>231</v>
      </c>
      <c r="D527" t="s">
        <v>18</v>
      </c>
    </row>
    <row r="528" spans="1:4" x14ac:dyDescent="0.25">
      <c r="A528" s="2" t="s">
        <v>240</v>
      </c>
      <c r="B528" s="1">
        <v>9806</v>
      </c>
      <c r="C528" t="s">
        <v>231</v>
      </c>
      <c r="D528" t="s">
        <v>18</v>
      </c>
    </row>
    <row r="529" spans="1:4" x14ac:dyDescent="0.25">
      <c r="A529" s="2" t="s">
        <v>241</v>
      </c>
      <c r="B529" s="1">
        <v>9821</v>
      </c>
      <c r="C529" t="s">
        <v>231</v>
      </c>
      <c r="D529" t="s">
        <v>18</v>
      </c>
    </row>
    <row r="530" spans="1:4" x14ac:dyDescent="0.25">
      <c r="A530" s="2" t="s">
        <v>242</v>
      </c>
      <c r="B530" s="1">
        <v>9856</v>
      </c>
      <c r="C530" t="s">
        <v>231</v>
      </c>
      <c r="D530" t="s">
        <v>18</v>
      </c>
    </row>
    <row r="531" spans="1:4" x14ac:dyDescent="0.25">
      <c r="A531" s="2" t="s">
        <v>243</v>
      </c>
      <c r="B531" s="1">
        <v>9887</v>
      </c>
      <c r="C531" t="s">
        <v>231</v>
      </c>
      <c r="D531" t="s">
        <v>18</v>
      </c>
    </row>
    <row r="532" spans="1:4" x14ac:dyDescent="0.25">
      <c r="A532" s="2" t="s">
        <v>244</v>
      </c>
      <c r="B532" s="1">
        <v>9886</v>
      </c>
      <c r="C532" t="s">
        <v>231</v>
      </c>
      <c r="D532" t="s">
        <v>18</v>
      </c>
    </row>
    <row r="533" spans="1:4" x14ac:dyDescent="0.25">
      <c r="A533" s="2" t="s">
        <v>245</v>
      </c>
      <c r="B533" s="1">
        <v>9886</v>
      </c>
      <c r="C533" t="s">
        <v>231</v>
      </c>
      <c r="D533" t="s">
        <v>18</v>
      </c>
    </row>
    <row r="534" spans="1:4" x14ac:dyDescent="0.25">
      <c r="A534" s="2" t="s">
        <v>246</v>
      </c>
      <c r="B534" s="1">
        <v>9886</v>
      </c>
      <c r="C534" t="s">
        <v>231</v>
      </c>
      <c r="D534" t="s">
        <v>18</v>
      </c>
    </row>
    <row r="535" spans="1:4" x14ac:dyDescent="0.25">
      <c r="A535" s="2" t="s">
        <v>247</v>
      </c>
      <c r="B535" s="1">
        <v>9881</v>
      </c>
      <c r="C535" t="s">
        <v>231</v>
      </c>
      <c r="D535" t="s">
        <v>18</v>
      </c>
    </row>
    <row r="536" spans="1:4" x14ac:dyDescent="0.25">
      <c r="A536" s="2" t="s">
        <v>248</v>
      </c>
      <c r="B536" s="1">
        <v>9918</v>
      </c>
      <c r="C536" t="s">
        <v>231</v>
      </c>
      <c r="D536" t="s">
        <v>18</v>
      </c>
    </row>
    <row r="537" spans="1:4" x14ac:dyDescent="0.25">
      <c r="A537" s="2" t="s">
        <v>249</v>
      </c>
      <c r="B537" s="1">
        <v>9910</v>
      </c>
      <c r="C537" t="s">
        <v>231</v>
      </c>
      <c r="D537" t="s">
        <v>18</v>
      </c>
    </row>
    <row r="538" spans="1:4" x14ac:dyDescent="0.25">
      <c r="A538" s="2" t="s">
        <v>250</v>
      </c>
      <c r="B538" s="1">
        <v>9927</v>
      </c>
      <c r="C538" t="s">
        <v>231</v>
      </c>
      <c r="D538" t="s">
        <v>18</v>
      </c>
    </row>
    <row r="539" spans="1:4" x14ac:dyDescent="0.25">
      <c r="A539" s="2" t="s">
        <v>251</v>
      </c>
      <c r="B539" s="1">
        <v>9960</v>
      </c>
      <c r="C539" t="s">
        <v>231</v>
      </c>
      <c r="D539" t="s">
        <v>18</v>
      </c>
    </row>
    <row r="540" spans="1:4" x14ac:dyDescent="0.25">
      <c r="A540" s="2" t="s">
        <v>252</v>
      </c>
      <c r="B540" s="1">
        <v>9960</v>
      </c>
      <c r="C540" t="s">
        <v>231</v>
      </c>
      <c r="D540" t="s">
        <v>18</v>
      </c>
    </row>
    <row r="541" spans="1:4" x14ac:dyDescent="0.25">
      <c r="A541" s="2" t="s">
        <v>253</v>
      </c>
      <c r="B541" s="1">
        <v>9960</v>
      </c>
      <c r="C541" t="s">
        <v>231</v>
      </c>
      <c r="D541" t="s">
        <v>18</v>
      </c>
    </row>
    <row r="542" spans="1:4" x14ac:dyDescent="0.25">
      <c r="A542" s="2" t="s">
        <v>254</v>
      </c>
      <c r="B542" s="1">
        <v>9931</v>
      </c>
      <c r="C542" t="s">
        <v>231</v>
      </c>
      <c r="D542" t="s">
        <v>18</v>
      </c>
    </row>
    <row r="543" spans="1:4" x14ac:dyDescent="0.25">
      <c r="A543" s="2" t="s">
        <v>255</v>
      </c>
      <c r="B543" s="1">
        <v>9948</v>
      </c>
      <c r="C543" t="s">
        <v>231</v>
      </c>
      <c r="D543" t="s">
        <v>18</v>
      </c>
    </row>
    <row r="544" spans="1:4" x14ac:dyDescent="0.25">
      <c r="A544" s="2" t="s">
        <v>256</v>
      </c>
      <c r="B544" s="1">
        <v>9939</v>
      </c>
      <c r="C544" t="s">
        <v>231</v>
      </c>
      <c r="D544" t="s">
        <v>18</v>
      </c>
    </row>
    <row r="545" spans="1:4" x14ac:dyDescent="0.25">
      <c r="A545" s="2" t="s">
        <v>257</v>
      </c>
      <c r="B545" s="1">
        <v>9937</v>
      </c>
      <c r="C545" t="s">
        <v>231</v>
      </c>
      <c r="D545" t="s">
        <v>18</v>
      </c>
    </row>
    <row r="546" spans="1:4" x14ac:dyDescent="0.25">
      <c r="A546" s="2" t="s">
        <v>258</v>
      </c>
      <c r="B546" s="1">
        <v>9929</v>
      </c>
      <c r="C546" t="s">
        <v>231</v>
      </c>
      <c r="D546" t="s">
        <v>18</v>
      </c>
    </row>
    <row r="547" spans="1:4" x14ac:dyDescent="0.25">
      <c r="A547" s="2" t="s">
        <v>259</v>
      </c>
      <c r="B547" s="1">
        <v>9929</v>
      </c>
      <c r="C547" t="s">
        <v>231</v>
      </c>
      <c r="D547" t="s">
        <v>18</v>
      </c>
    </row>
    <row r="548" spans="1:4" x14ac:dyDescent="0.25">
      <c r="A548" s="2" t="s">
        <v>260</v>
      </c>
      <c r="B548" s="1">
        <v>9929</v>
      </c>
      <c r="C548" t="s">
        <v>231</v>
      </c>
      <c r="D548" t="s">
        <v>18</v>
      </c>
    </row>
    <row r="549" spans="1:4" x14ac:dyDescent="0.25">
      <c r="A549" s="2" t="s">
        <v>261</v>
      </c>
      <c r="B549" s="1">
        <v>9934</v>
      </c>
      <c r="C549" t="s">
        <v>262</v>
      </c>
      <c r="D549" t="s">
        <v>19</v>
      </c>
    </row>
    <row r="550" spans="1:4" x14ac:dyDescent="0.25">
      <c r="A550" s="2" t="s">
        <v>263</v>
      </c>
      <c r="B550" s="1">
        <v>9940</v>
      </c>
      <c r="C550" t="s">
        <v>262</v>
      </c>
      <c r="D550" t="s">
        <v>19</v>
      </c>
    </row>
    <row r="551" spans="1:4" x14ac:dyDescent="0.25">
      <c r="A551" s="2" t="s">
        <v>264</v>
      </c>
      <c r="B551" s="1">
        <v>9941</v>
      </c>
      <c r="C551" t="s">
        <v>262</v>
      </c>
      <c r="D551" t="s">
        <v>19</v>
      </c>
    </row>
    <row r="552" spans="1:4" x14ac:dyDescent="0.25">
      <c r="A552" s="2" t="s">
        <v>265</v>
      </c>
      <c r="B552" s="1">
        <v>9945</v>
      </c>
      <c r="C552" t="s">
        <v>262</v>
      </c>
      <c r="D552" t="s">
        <v>19</v>
      </c>
    </row>
    <row r="553" spans="1:4" x14ac:dyDescent="0.25">
      <c r="A553" s="2" t="s">
        <v>266</v>
      </c>
      <c r="B553" s="1">
        <v>9945</v>
      </c>
      <c r="C553" t="s">
        <v>262</v>
      </c>
      <c r="D553" t="s">
        <v>19</v>
      </c>
    </row>
    <row r="554" spans="1:4" x14ac:dyDescent="0.25">
      <c r="A554" s="2" t="s">
        <v>267</v>
      </c>
      <c r="B554" s="1">
        <v>9945</v>
      </c>
      <c r="C554" t="s">
        <v>262</v>
      </c>
      <c r="D554" t="s">
        <v>19</v>
      </c>
    </row>
    <row r="555" spans="1:4" x14ac:dyDescent="0.25">
      <c r="A555" s="2" t="s">
        <v>268</v>
      </c>
      <c r="B555" s="1">
        <v>9945</v>
      </c>
      <c r="C555" t="s">
        <v>262</v>
      </c>
      <c r="D555" t="s">
        <v>19</v>
      </c>
    </row>
    <row r="556" spans="1:4" x14ac:dyDescent="0.25">
      <c r="A556" s="2" t="s">
        <v>269</v>
      </c>
      <c r="B556" s="1">
        <v>9960</v>
      </c>
      <c r="C556" t="s">
        <v>262</v>
      </c>
      <c r="D556" t="s">
        <v>19</v>
      </c>
    </row>
    <row r="557" spans="1:4" x14ac:dyDescent="0.25">
      <c r="A557" s="2" t="s">
        <v>270</v>
      </c>
      <c r="B557" s="1">
        <v>9960</v>
      </c>
      <c r="C557" t="s">
        <v>262</v>
      </c>
      <c r="D557" t="s">
        <v>19</v>
      </c>
    </row>
    <row r="558" spans="1:4" x14ac:dyDescent="0.25">
      <c r="A558" s="2" t="s">
        <v>271</v>
      </c>
      <c r="B558" s="1">
        <v>9970</v>
      </c>
      <c r="C558" t="s">
        <v>262</v>
      </c>
      <c r="D558" t="s">
        <v>19</v>
      </c>
    </row>
    <row r="559" spans="1:4" x14ac:dyDescent="0.25">
      <c r="A559" s="2" t="s">
        <v>272</v>
      </c>
      <c r="B559" s="1">
        <v>9979</v>
      </c>
      <c r="C559" t="s">
        <v>262</v>
      </c>
      <c r="D559" t="s">
        <v>19</v>
      </c>
    </row>
    <row r="560" spans="1:4" x14ac:dyDescent="0.25">
      <c r="A560" s="2" t="s">
        <v>273</v>
      </c>
      <c r="B560" s="1">
        <v>9980</v>
      </c>
      <c r="C560" t="s">
        <v>262</v>
      </c>
      <c r="D560" t="s">
        <v>19</v>
      </c>
    </row>
    <row r="561" spans="1:4" x14ac:dyDescent="0.25">
      <c r="A561" s="2" t="s">
        <v>274</v>
      </c>
      <c r="B561" s="1">
        <v>9980</v>
      </c>
      <c r="C561" t="s">
        <v>262</v>
      </c>
      <c r="D561" t="s">
        <v>19</v>
      </c>
    </row>
    <row r="562" spans="1:4" x14ac:dyDescent="0.25">
      <c r="A562" s="2" t="s">
        <v>275</v>
      </c>
      <c r="B562" s="1">
        <v>9980</v>
      </c>
      <c r="C562" t="s">
        <v>262</v>
      </c>
      <c r="D562" t="s">
        <v>19</v>
      </c>
    </row>
    <row r="563" spans="1:4" x14ac:dyDescent="0.25">
      <c r="A563" s="2" t="s">
        <v>276</v>
      </c>
      <c r="B563" s="1">
        <v>10024</v>
      </c>
      <c r="C563" t="s">
        <v>262</v>
      </c>
      <c r="D563" t="s">
        <v>19</v>
      </c>
    </row>
    <row r="564" spans="1:4" x14ac:dyDescent="0.25">
      <c r="A564" s="2" t="s">
        <v>277</v>
      </c>
      <c r="B564" s="1">
        <v>10036</v>
      </c>
      <c r="C564" t="s">
        <v>262</v>
      </c>
      <c r="D564" t="s">
        <v>19</v>
      </c>
    </row>
    <row r="565" spans="1:4" x14ac:dyDescent="0.25">
      <c r="A565" s="2" t="s">
        <v>278</v>
      </c>
      <c r="B565" s="1">
        <v>10040</v>
      </c>
      <c r="C565" t="s">
        <v>262</v>
      </c>
      <c r="D565" t="s">
        <v>19</v>
      </c>
    </row>
    <row r="566" spans="1:4" x14ac:dyDescent="0.25">
      <c r="A566" s="2" t="s">
        <v>279</v>
      </c>
      <c r="B566" s="1">
        <v>10059</v>
      </c>
      <c r="C566" t="s">
        <v>262</v>
      </c>
      <c r="D566" t="s">
        <v>19</v>
      </c>
    </row>
    <row r="567" spans="1:4" x14ac:dyDescent="0.25">
      <c r="A567" s="2" t="s">
        <v>280</v>
      </c>
      <c r="B567" s="1">
        <v>10070</v>
      </c>
      <c r="C567" t="s">
        <v>262</v>
      </c>
      <c r="D567" t="s">
        <v>19</v>
      </c>
    </row>
    <row r="568" spans="1:4" x14ac:dyDescent="0.25">
      <c r="A568" s="2" t="s">
        <v>281</v>
      </c>
      <c r="B568" s="1">
        <v>10070</v>
      </c>
      <c r="C568" t="s">
        <v>262</v>
      </c>
      <c r="D568" t="s">
        <v>19</v>
      </c>
    </row>
    <row r="569" spans="1:4" x14ac:dyDescent="0.25">
      <c r="A569" s="2" t="s">
        <v>282</v>
      </c>
      <c r="B569" s="1">
        <v>10070</v>
      </c>
      <c r="C569" t="s">
        <v>262</v>
      </c>
      <c r="D569" t="s">
        <v>19</v>
      </c>
    </row>
    <row r="570" spans="1:4" x14ac:dyDescent="0.25">
      <c r="A570" s="2" t="s">
        <v>283</v>
      </c>
      <c r="B570" s="1">
        <v>10068</v>
      </c>
      <c r="C570" t="s">
        <v>262</v>
      </c>
      <c r="D570" t="s">
        <v>19</v>
      </c>
    </row>
    <row r="571" spans="1:4" x14ac:dyDescent="0.25">
      <c r="A571" s="2" t="s">
        <v>284</v>
      </c>
      <c r="B571" s="1">
        <v>10222</v>
      </c>
      <c r="C571" t="s">
        <v>262</v>
      </c>
      <c r="D571" t="s">
        <v>19</v>
      </c>
    </row>
    <row r="572" spans="1:4" x14ac:dyDescent="0.25">
      <c r="A572" s="2" t="s">
        <v>285</v>
      </c>
      <c r="B572" s="1">
        <v>10262</v>
      </c>
      <c r="C572" t="s">
        <v>262</v>
      </c>
      <c r="D572" t="s">
        <v>19</v>
      </c>
    </row>
    <row r="573" spans="1:4" x14ac:dyDescent="0.25">
      <c r="A573" s="2" t="s">
        <v>286</v>
      </c>
      <c r="B573" s="1">
        <v>10263</v>
      </c>
      <c r="C573" t="s">
        <v>262</v>
      </c>
      <c r="D573" t="s">
        <v>19</v>
      </c>
    </row>
    <row r="574" spans="1:4" x14ac:dyDescent="0.25">
      <c r="A574" s="2" t="s">
        <v>287</v>
      </c>
      <c r="B574" s="1">
        <v>10265</v>
      </c>
      <c r="C574" t="s">
        <v>262</v>
      </c>
      <c r="D574" t="s">
        <v>19</v>
      </c>
    </row>
    <row r="575" spans="1:4" x14ac:dyDescent="0.25">
      <c r="A575" s="2" t="s">
        <v>288</v>
      </c>
      <c r="B575" s="1">
        <v>10265</v>
      </c>
      <c r="C575" t="s">
        <v>262</v>
      </c>
      <c r="D575" t="s">
        <v>19</v>
      </c>
    </row>
    <row r="576" spans="1:4" x14ac:dyDescent="0.25">
      <c r="A576" s="2" t="s">
        <v>289</v>
      </c>
      <c r="B576" s="1">
        <v>10265</v>
      </c>
      <c r="C576" t="s">
        <v>262</v>
      </c>
      <c r="D576" t="s">
        <v>19</v>
      </c>
    </row>
    <row r="577" spans="1:4" x14ac:dyDescent="0.25">
      <c r="A577" s="2" t="s">
        <v>290</v>
      </c>
      <c r="B577" s="1">
        <v>10270</v>
      </c>
      <c r="C577" t="s">
        <v>262</v>
      </c>
      <c r="D577" t="s">
        <v>19</v>
      </c>
    </row>
    <row r="578" spans="1:4" x14ac:dyDescent="0.25">
      <c r="A578" s="2" t="s">
        <v>291</v>
      </c>
      <c r="B578" s="1">
        <v>10277</v>
      </c>
      <c r="C578" t="s">
        <v>262</v>
      </c>
      <c r="D578" t="s">
        <v>19</v>
      </c>
    </row>
    <row r="579" spans="1:4" x14ac:dyDescent="0.25">
      <c r="A579" s="2" t="s">
        <v>292</v>
      </c>
      <c r="B579" s="1">
        <v>10278</v>
      </c>
      <c r="C579" t="s">
        <v>262</v>
      </c>
      <c r="D579" t="s">
        <v>19</v>
      </c>
    </row>
    <row r="580" spans="1:4" x14ac:dyDescent="0.25">
      <c r="A580" s="2" t="s">
        <v>293</v>
      </c>
      <c r="B580" s="1">
        <v>10288</v>
      </c>
      <c r="C580" t="s">
        <v>294</v>
      </c>
      <c r="D580" t="s">
        <v>19</v>
      </c>
    </row>
    <row r="581" spans="1:4" x14ac:dyDescent="0.25">
      <c r="A581" s="2" t="s">
        <v>295</v>
      </c>
      <c r="B581" s="1">
        <v>10288</v>
      </c>
      <c r="C581" t="s">
        <v>294</v>
      </c>
      <c r="D581" t="s">
        <v>19</v>
      </c>
    </row>
    <row r="582" spans="1:4" x14ac:dyDescent="0.25">
      <c r="A582" s="2" t="s">
        <v>296</v>
      </c>
      <c r="B582" s="1">
        <v>10288</v>
      </c>
      <c r="C582" t="s">
        <v>294</v>
      </c>
      <c r="D582" t="s">
        <v>19</v>
      </c>
    </row>
    <row r="583" spans="1:4" x14ac:dyDescent="0.25">
      <c r="A583" s="2" t="s">
        <v>297</v>
      </c>
      <c r="B583" s="1">
        <v>10288</v>
      </c>
      <c r="C583" t="s">
        <v>294</v>
      </c>
      <c r="D583" t="s">
        <v>19</v>
      </c>
    </row>
    <row r="584" spans="1:4" x14ac:dyDescent="0.25">
      <c r="A584" s="2" t="s">
        <v>298</v>
      </c>
      <c r="B584" s="1">
        <v>10288</v>
      </c>
      <c r="C584" t="s">
        <v>294</v>
      </c>
      <c r="D584" t="s">
        <v>19</v>
      </c>
    </row>
    <row r="585" spans="1:4" x14ac:dyDescent="0.25">
      <c r="A585" s="2" t="s">
        <v>299</v>
      </c>
      <c r="B585" s="1">
        <v>10288</v>
      </c>
      <c r="C585" t="s">
        <v>294</v>
      </c>
      <c r="D585" t="s">
        <v>19</v>
      </c>
    </row>
    <row r="586" spans="1:4" x14ac:dyDescent="0.25">
      <c r="A586" s="2" t="s">
        <v>300</v>
      </c>
      <c r="B586" s="1">
        <v>10288</v>
      </c>
      <c r="C586" t="s">
        <v>294</v>
      </c>
      <c r="D586" t="s">
        <v>19</v>
      </c>
    </row>
    <row r="587" spans="1:4" x14ac:dyDescent="0.25">
      <c r="A587" s="2" t="s">
        <v>301</v>
      </c>
      <c r="B587" s="1">
        <v>10288</v>
      </c>
      <c r="C587" t="s">
        <v>294</v>
      </c>
      <c r="D587" t="s">
        <v>19</v>
      </c>
    </row>
    <row r="588" spans="1:4" x14ac:dyDescent="0.25">
      <c r="A588" s="2" t="s">
        <v>302</v>
      </c>
      <c r="B588" s="1">
        <v>10288</v>
      </c>
      <c r="C588" t="s">
        <v>294</v>
      </c>
      <c r="D588" t="s">
        <v>19</v>
      </c>
    </row>
    <row r="589" spans="1:4" x14ac:dyDescent="0.25">
      <c r="A589" s="2" t="s">
        <v>303</v>
      </c>
      <c r="B589" s="1">
        <v>10288</v>
      </c>
      <c r="C589" t="s">
        <v>294</v>
      </c>
      <c r="D589" t="s">
        <v>19</v>
      </c>
    </row>
    <row r="590" spans="1:4" x14ac:dyDescent="0.25">
      <c r="A590" s="2" t="s">
        <v>304</v>
      </c>
      <c r="B590" s="1">
        <v>10288</v>
      </c>
      <c r="C590" t="s">
        <v>294</v>
      </c>
      <c r="D590" t="s">
        <v>19</v>
      </c>
    </row>
    <row r="591" spans="1:4" x14ac:dyDescent="0.25">
      <c r="A591" s="2" t="s">
        <v>305</v>
      </c>
      <c r="B591" s="1">
        <v>10287</v>
      </c>
      <c r="C591" t="s">
        <v>294</v>
      </c>
      <c r="D591" t="s">
        <v>19</v>
      </c>
    </row>
    <row r="592" spans="1:4" x14ac:dyDescent="0.25">
      <c r="A592" s="2" t="s">
        <v>306</v>
      </c>
      <c r="B592" s="1">
        <v>10292</v>
      </c>
      <c r="C592" t="s">
        <v>294</v>
      </c>
      <c r="D592" t="s">
        <v>19</v>
      </c>
    </row>
    <row r="593" spans="1:4" x14ac:dyDescent="0.25">
      <c r="A593" s="2" t="s">
        <v>307</v>
      </c>
      <c r="B593" s="1">
        <v>10297</v>
      </c>
      <c r="C593" t="s">
        <v>294</v>
      </c>
      <c r="D593" t="s">
        <v>19</v>
      </c>
    </row>
    <row r="594" spans="1:4" x14ac:dyDescent="0.25">
      <c r="A594" s="2" t="s">
        <v>308</v>
      </c>
      <c r="B594" s="1">
        <v>10318</v>
      </c>
      <c r="C594" t="s">
        <v>294</v>
      </c>
      <c r="D594" t="s">
        <v>19</v>
      </c>
    </row>
    <row r="595" spans="1:4" x14ac:dyDescent="0.25">
      <c r="A595" s="2" t="s">
        <v>309</v>
      </c>
      <c r="B595" s="1">
        <v>10392</v>
      </c>
      <c r="C595" t="s">
        <v>294</v>
      </c>
      <c r="D595" t="s">
        <v>19</v>
      </c>
    </row>
    <row r="596" spans="1:4" x14ac:dyDescent="0.25">
      <c r="A596" s="2" t="s">
        <v>310</v>
      </c>
      <c r="B596" s="1">
        <v>10392</v>
      </c>
      <c r="C596" t="s">
        <v>294</v>
      </c>
      <c r="D596" t="s">
        <v>19</v>
      </c>
    </row>
    <row r="597" spans="1:4" x14ac:dyDescent="0.25">
      <c r="A597" s="2" t="s">
        <v>311</v>
      </c>
      <c r="B597" s="1">
        <v>10392</v>
      </c>
      <c r="C597" t="s">
        <v>294</v>
      </c>
      <c r="D597" t="s">
        <v>19</v>
      </c>
    </row>
    <row r="598" spans="1:4" x14ac:dyDescent="0.25">
      <c r="A598" s="2" t="s">
        <v>312</v>
      </c>
      <c r="B598" s="1">
        <v>10451</v>
      </c>
      <c r="C598" t="s">
        <v>294</v>
      </c>
      <c r="D598" t="s">
        <v>19</v>
      </c>
    </row>
    <row r="599" spans="1:4" x14ac:dyDescent="0.25">
      <c r="A599" s="2" t="s">
        <v>313</v>
      </c>
      <c r="B599" s="1">
        <v>10504</v>
      </c>
      <c r="C599" t="s">
        <v>294</v>
      </c>
      <c r="D599" t="s">
        <v>19</v>
      </c>
    </row>
    <row r="600" spans="1:4" x14ac:dyDescent="0.25">
      <c r="A600" s="2" t="s">
        <v>314</v>
      </c>
      <c r="B600" s="1">
        <v>10723</v>
      </c>
      <c r="C600" t="s">
        <v>294</v>
      </c>
      <c r="D600" t="s">
        <v>19</v>
      </c>
    </row>
    <row r="601" spans="1:4" x14ac:dyDescent="0.25">
      <c r="A601" s="2" t="s">
        <v>315</v>
      </c>
      <c r="B601" s="1">
        <v>10795</v>
      </c>
      <c r="C601" t="s">
        <v>294</v>
      </c>
      <c r="D601" t="s">
        <v>19</v>
      </c>
    </row>
    <row r="602" spans="1:4" x14ac:dyDescent="0.25">
      <c r="A602" s="2" t="s">
        <v>316</v>
      </c>
      <c r="B602" s="1">
        <v>10848</v>
      </c>
      <c r="C602" t="s">
        <v>294</v>
      </c>
      <c r="D602" t="s">
        <v>19</v>
      </c>
    </row>
    <row r="603" spans="1:4" x14ac:dyDescent="0.25">
      <c r="A603" s="2" t="s">
        <v>317</v>
      </c>
      <c r="B603" s="1">
        <v>10848</v>
      </c>
      <c r="C603" t="s">
        <v>294</v>
      </c>
      <c r="D603" t="s">
        <v>19</v>
      </c>
    </row>
    <row r="604" spans="1:4" x14ac:dyDescent="0.25">
      <c r="A604" s="2" t="s">
        <v>318</v>
      </c>
      <c r="B604" s="1">
        <v>10848</v>
      </c>
      <c r="C604" t="s">
        <v>294</v>
      </c>
      <c r="D604" t="s">
        <v>19</v>
      </c>
    </row>
    <row r="605" spans="1:4" x14ac:dyDescent="0.25">
      <c r="A605" s="2" t="s">
        <v>319</v>
      </c>
      <c r="B605" s="1">
        <v>10841</v>
      </c>
      <c r="C605" t="s">
        <v>294</v>
      </c>
      <c r="D605" t="s">
        <v>19</v>
      </c>
    </row>
    <row r="606" spans="1:4" x14ac:dyDescent="0.25">
      <c r="A606" s="2" t="s">
        <v>320</v>
      </c>
      <c r="B606" s="1">
        <v>10883</v>
      </c>
      <c r="C606" t="s">
        <v>294</v>
      </c>
      <c r="D606" t="s">
        <v>19</v>
      </c>
    </row>
    <row r="607" spans="1:4" x14ac:dyDescent="0.25">
      <c r="A607" s="2" t="s">
        <v>321</v>
      </c>
      <c r="B607" s="1">
        <v>10950</v>
      </c>
      <c r="C607" t="s">
        <v>294</v>
      </c>
      <c r="D607" t="s">
        <v>19</v>
      </c>
    </row>
    <row r="608" spans="1:4" x14ac:dyDescent="0.25">
      <c r="A608" s="2" t="s">
        <v>322</v>
      </c>
      <c r="B608" s="1">
        <v>10936</v>
      </c>
      <c r="C608" t="s">
        <v>294</v>
      </c>
      <c r="D608" t="s">
        <v>19</v>
      </c>
    </row>
    <row r="609" spans="1:4" x14ac:dyDescent="0.25">
      <c r="A609" s="2" t="s">
        <v>323</v>
      </c>
      <c r="B609" s="1">
        <v>10924</v>
      </c>
      <c r="C609" t="s">
        <v>294</v>
      </c>
      <c r="D609" t="s">
        <v>19</v>
      </c>
    </row>
    <row r="610" spans="1:4" x14ac:dyDescent="0.25">
      <c r="A610" s="2" t="s">
        <v>324</v>
      </c>
      <c r="B610" s="1">
        <v>10924</v>
      </c>
      <c r="C610" t="s">
        <v>294</v>
      </c>
      <c r="D610" t="s">
        <v>19</v>
      </c>
    </row>
    <row r="611" spans="1:4" x14ac:dyDescent="0.25">
      <c r="A611" s="2" t="s">
        <v>325</v>
      </c>
      <c r="B611" s="1">
        <v>10924</v>
      </c>
      <c r="C611" t="s">
        <v>326</v>
      </c>
      <c r="D611" t="s">
        <v>19</v>
      </c>
    </row>
    <row r="612" spans="1:4" x14ac:dyDescent="0.25">
      <c r="A612" s="2" t="s">
        <v>327</v>
      </c>
      <c r="B612" s="1">
        <v>10922</v>
      </c>
      <c r="C612" t="s">
        <v>326</v>
      </c>
      <c r="D612" t="s">
        <v>19</v>
      </c>
    </row>
    <row r="613" spans="1:4" x14ac:dyDescent="0.25">
      <c r="A613" s="2" t="s">
        <v>328</v>
      </c>
      <c r="B613" s="1">
        <v>10983</v>
      </c>
      <c r="C613" t="s">
        <v>326</v>
      </c>
      <c r="D613" t="s">
        <v>19</v>
      </c>
    </row>
    <row r="614" spans="1:4" x14ac:dyDescent="0.25">
      <c r="A614" s="2" t="s">
        <v>329</v>
      </c>
      <c r="B614" s="1">
        <v>11093</v>
      </c>
      <c r="C614" t="s">
        <v>326</v>
      </c>
      <c r="D614" t="s">
        <v>19</v>
      </c>
    </row>
    <row r="615" spans="1:4" x14ac:dyDescent="0.25">
      <c r="A615" s="2" t="s">
        <v>330</v>
      </c>
      <c r="B615" s="1">
        <v>11125</v>
      </c>
      <c r="C615" t="s">
        <v>326</v>
      </c>
      <c r="D615" t="s">
        <v>19</v>
      </c>
    </row>
    <row r="616" spans="1:4" x14ac:dyDescent="0.25">
      <c r="A616" s="2" t="s">
        <v>331</v>
      </c>
      <c r="B616" s="1">
        <v>11200</v>
      </c>
      <c r="C616" t="s">
        <v>326</v>
      </c>
      <c r="D616" t="s">
        <v>19</v>
      </c>
    </row>
    <row r="617" spans="1:4" x14ac:dyDescent="0.25">
      <c r="A617" s="2" t="s">
        <v>332</v>
      </c>
      <c r="B617" s="1">
        <v>11200</v>
      </c>
      <c r="C617" t="s">
        <v>326</v>
      </c>
      <c r="D617" t="s">
        <v>19</v>
      </c>
    </row>
    <row r="618" spans="1:4" x14ac:dyDescent="0.25">
      <c r="A618" s="2" t="s">
        <v>333</v>
      </c>
      <c r="B618" s="1">
        <v>11200</v>
      </c>
      <c r="C618" t="s">
        <v>326</v>
      </c>
      <c r="D618" t="s">
        <v>19</v>
      </c>
    </row>
    <row r="619" spans="1:4" x14ac:dyDescent="0.25">
      <c r="A619" s="2" t="s">
        <v>334</v>
      </c>
      <c r="B619" s="1">
        <v>11188</v>
      </c>
      <c r="C619" t="s">
        <v>326</v>
      </c>
      <c r="D619" t="s">
        <v>19</v>
      </c>
    </row>
    <row r="620" spans="1:4" x14ac:dyDescent="0.25">
      <c r="A620" s="2" t="s">
        <v>335</v>
      </c>
      <c r="B620" s="1">
        <v>11180</v>
      </c>
      <c r="C620" t="s">
        <v>326</v>
      </c>
      <c r="D620" t="s">
        <v>19</v>
      </c>
    </row>
    <row r="621" spans="1:4" x14ac:dyDescent="0.25">
      <c r="A621" s="2" t="s">
        <v>336</v>
      </c>
      <c r="B621" s="1">
        <v>11438</v>
      </c>
      <c r="C621" t="s">
        <v>326</v>
      </c>
      <c r="D621" t="s">
        <v>19</v>
      </c>
    </row>
    <row r="622" spans="1:4" x14ac:dyDescent="0.25">
      <c r="A622" s="2" t="s">
        <v>337</v>
      </c>
      <c r="B622" s="1">
        <v>11494</v>
      </c>
      <c r="C622" t="s">
        <v>326</v>
      </c>
      <c r="D622" t="s">
        <v>19</v>
      </c>
    </row>
    <row r="623" spans="1:4" x14ac:dyDescent="0.25">
      <c r="A623" s="2" t="s">
        <v>338</v>
      </c>
      <c r="B623" s="1">
        <v>11395</v>
      </c>
      <c r="C623" t="s">
        <v>326</v>
      </c>
      <c r="D623" t="s">
        <v>19</v>
      </c>
    </row>
    <row r="624" spans="1:4" x14ac:dyDescent="0.25">
      <c r="A624" s="2" t="s">
        <v>339</v>
      </c>
      <c r="B624" s="1">
        <v>11395</v>
      </c>
      <c r="C624" t="s">
        <v>326</v>
      </c>
      <c r="D624" t="s">
        <v>19</v>
      </c>
    </row>
    <row r="625" spans="1:4" x14ac:dyDescent="0.25">
      <c r="A625" s="2" t="s">
        <v>340</v>
      </c>
      <c r="B625" s="1">
        <v>11395</v>
      </c>
      <c r="C625" t="s">
        <v>326</v>
      </c>
      <c r="D625" t="s">
        <v>19</v>
      </c>
    </row>
    <row r="626" spans="1:4" x14ac:dyDescent="0.25">
      <c r="A626" s="2" t="s">
        <v>341</v>
      </c>
      <c r="B626" s="1">
        <v>11423</v>
      </c>
      <c r="C626" t="s">
        <v>326</v>
      </c>
      <c r="D626" t="s">
        <v>19</v>
      </c>
    </row>
    <row r="627" spans="1:4" x14ac:dyDescent="0.25">
      <c r="A627" s="2" t="s">
        <v>342</v>
      </c>
      <c r="B627" s="1">
        <v>11451</v>
      </c>
      <c r="C627" t="s">
        <v>326</v>
      </c>
      <c r="D627" t="s">
        <v>19</v>
      </c>
    </row>
    <row r="628" spans="1:4" x14ac:dyDescent="0.25">
      <c r="A628" s="2" t="s">
        <v>343</v>
      </c>
      <c r="B628" s="1">
        <v>11492</v>
      </c>
      <c r="C628" t="s">
        <v>326</v>
      </c>
      <c r="D628" t="s">
        <v>19</v>
      </c>
    </row>
    <row r="629" spans="1:4" x14ac:dyDescent="0.25">
      <c r="A629" s="2" t="s">
        <v>344</v>
      </c>
      <c r="B629" s="1">
        <v>11278</v>
      </c>
      <c r="C629" t="s">
        <v>326</v>
      </c>
      <c r="D629" t="s">
        <v>19</v>
      </c>
    </row>
    <row r="630" spans="1:4" x14ac:dyDescent="0.25">
      <c r="A630" s="2" t="s">
        <v>345</v>
      </c>
      <c r="B630" s="1">
        <v>11352</v>
      </c>
      <c r="C630" t="s">
        <v>326</v>
      </c>
      <c r="D630" t="s">
        <v>19</v>
      </c>
    </row>
    <row r="631" spans="1:4" x14ac:dyDescent="0.25">
      <c r="A631" s="2" t="s">
        <v>346</v>
      </c>
      <c r="B631" s="1">
        <v>11352</v>
      </c>
      <c r="C631" t="s">
        <v>326</v>
      </c>
      <c r="D631" t="s">
        <v>19</v>
      </c>
    </row>
    <row r="632" spans="1:4" x14ac:dyDescent="0.25">
      <c r="A632" s="2" t="s">
        <v>347</v>
      </c>
      <c r="B632" s="1">
        <v>11352</v>
      </c>
      <c r="C632" t="s">
        <v>326</v>
      </c>
      <c r="D632" t="s">
        <v>19</v>
      </c>
    </row>
    <row r="633" spans="1:4" x14ac:dyDescent="0.25">
      <c r="A633" s="2" t="s">
        <v>348</v>
      </c>
      <c r="B633" s="1">
        <v>11435</v>
      </c>
      <c r="C633" t="s">
        <v>326</v>
      </c>
      <c r="D633" t="s">
        <v>19</v>
      </c>
    </row>
    <row r="634" spans="1:4" x14ac:dyDescent="0.25">
      <c r="A634" s="2" t="s">
        <v>349</v>
      </c>
      <c r="B634" s="1">
        <v>11535</v>
      </c>
      <c r="C634" t="s">
        <v>326</v>
      </c>
      <c r="D634" t="s">
        <v>19</v>
      </c>
    </row>
    <row r="635" spans="1:4" x14ac:dyDescent="0.25">
      <c r="A635" s="2" t="s">
        <v>350</v>
      </c>
      <c r="B635" s="1">
        <v>11569</v>
      </c>
      <c r="C635" t="s">
        <v>326</v>
      </c>
      <c r="D635" t="s">
        <v>19</v>
      </c>
    </row>
    <row r="636" spans="1:4" x14ac:dyDescent="0.25">
      <c r="A636" s="2" t="s">
        <v>351</v>
      </c>
      <c r="B636" s="1">
        <v>11573</v>
      </c>
      <c r="C636" t="s">
        <v>326</v>
      </c>
      <c r="D636" t="s">
        <v>19</v>
      </c>
    </row>
    <row r="637" spans="1:4" x14ac:dyDescent="0.25">
      <c r="A637" s="2" t="s">
        <v>352</v>
      </c>
      <c r="B637" s="1">
        <v>11532</v>
      </c>
      <c r="C637" t="s">
        <v>326</v>
      </c>
      <c r="D637" t="s">
        <v>19</v>
      </c>
    </row>
    <row r="638" spans="1:4" x14ac:dyDescent="0.25">
      <c r="A638" s="2" t="s">
        <v>353</v>
      </c>
      <c r="B638" s="1">
        <v>11532</v>
      </c>
      <c r="C638" t="s">
        <v>326</v>
      </c>
      <c r="D638" t="s">
        <v>19</v>
      </c>
    </row>
    <row r="639" spans="1:4" x14ac:dyDescent="0.25">
      <c r="A639" s="2" t="s">
        <v>354</v>
      </c>
      <c r="B639" s="1">
        <v>11532</v>
      </c>
      <c r="C639" t="s">
        <v>326</v>
      </c>
      <c r="D639" t="s">
        <v>19</v>
      </c>
    </row>
    <row r="640" spans="1:4" x14ac:dyDescent="0.25">
      <c r="A640" s="2" t="s">
        <v>355</v>
      </c>
      <c r="B640" s="1">
        <v>11613</v>
      </c>
      <c r="C640" t="s">
        <v>326</v>
      </c>
      <c r="D640" t="s">
        <v>19</v>
      </c>
    </row>
    <row r="641" spans="1:4" x14ac:dyDescent="0.25">
      <c r="A641" s="2" t="s">
        <v>356</v>
      </c>
      <c r="B641" s="1">
        <v>11593</v>
      </c>
      <c r="C641" t="s">
        <v>357</v>
      </c>
      <c r="D641" t="s">
        <v>20</v>
      </c>
    </row>
    <row r="642" spans="1:4" x14ac:dyDescent="0.25">
      <c r="A642" s="2" t="s">
        <v>358</v>
      </c>
      <c r="B642" s="1">
        <v>11568</v>
      </c>
      <c r="C642" t="s">
        <v>357</v>
      </c>
      <c r="D642" t="s">
        <v>20</v>
      </c>
    </row>
    <row r="643" spans="1:4" x14ac:dyDescent="0.25">
      <c r="A643" s="2" t="s">
        <v>359</v>
      </c>
      <c r="B643" s="1">
        <v>11535</v>
      </c>
      <c r="C643" t="s">
        <v>357</v>
      </c>
      <c r="D643" t="s">
        <v>20</v>
      </c>
    </row>
    <row r="644" spans="1:4" x14ac:dyDescent="0.25">
      <c r="A644" s="2" t="s">
        <v>360</v>
      </c>
      <c r="B644" s="1">
        <v>11556</v>
      </c>
      <c r="C644" t="s">
        <v>357</v>
      </c>
      <c r="D644" t="s">
        <v>20</v>
      </c>
    </row>
    <row r="645" spans="1:4" x14ac:dyDescent="0.25">
      <c r="A645" s="2" t="s">
        <v>361</v>
      </c>
      <c r="B645" s="1">
        <v>11556</v>
      </c>
      <c r="C645" t="s">
        <v>357</v>
      </c>
      <c r="D645" t="s">
        <v>20</v>
      </c>
    </row>
    <row r="646" spans="1:4" x14ac:dyDescent="0.25">
      <c r="A646" s="2" t="s">
        <v>362</v>
      </c>
      <c r="B646" s="1">
        <v>11556</v>
      </c>
      <c r="C646" t="s">
        <v>357</v>
      </c>
      <c r="D646" t="s">
        <v>20</v>
      </c>
    </row>
    <row r="647" spans="1:4" x14ac:dyDescent="0.25">
      <c r="A647" s="2" t="s">
        <v>363</v>
      </c>
      <c r="B647" s="1">
        <v>11532</v>
      </c>
      <c r="C647" t="s">
        <v>357</v>
      </c>
      <c r="D647" t="s">
        <v>20</v>
      </c>
    </row>
    <row r="648" spans="1:4" x14ac:dyDescent="0.25">
      <c r="A648" s="2" t="s">
        <v>364</v>
      </c>
      <c r="B648" s="1">
        <v>11538</v>
      </c>
      <c r="C648" t="s">
        <v>357</v>
      </c>
      <c r="D648" t="s">
        <v>20</v>
      </c>
    </row>
    <row r="649" spans="1:4" x14ac:dyDescent="0.25">
      <c r="A649" s="2" t="s">
        <v>365</v>
      </c>
      <c r="B649" s="1">
        <v>11540</v>
      </c>
      <c r="C649" t="s">
        <v>357</v>
      </c>
      <c r="D649" t="s">
        <v>20</v>
      </c>
    </row>
    <row r="650" spans="1:4" x14ac:dyDescent="0.25">
      <c r="A650" s="2" t="s">
        <v>366</v>
      </c>
      <c r="B650" s="1">
        <v>11542</v>
      </c>
      <c r="C650" t="s">
        <v>357</v>
      </c>
      <c r="D650" t="s">
        <v>20</v>
      </c>
    </row>
    <row r="651" spans="1:4" x14ac:dyDescent="0.25">
      <c r="A651" s="2" t="s">
        <v>367</v>
      </c>
      <c r="B651" s="1">
        <v>11475</v>
      </c>
      <c r="C651" t="s">
        <v>357</v>
      </c>
      <c r="D651" t="s">
        <v>20</v>
      </c>
    </row>
    <row r="652" spans="1:4" x14ac:dyDescent="0.25">
      <c r="A652" s="2" t="s">
        <v>368</v>
      </c>
      <c r="B652" s="1">
        <v>11475</v>
      </c>
      <c r="C652" t="s">
        <v>357</v>
      </c>
      <c r="D652" t="s">
        <v>20</v>
      </c>
    </row>
    <row r="653" spans="1:4" x14ac:dyDescent="0.25">
      <c r="A653" s="2" t="s">
        <v>369</v>
      </c>
      <c r="B653" s="1">
        <v>11475</v>
      </c>
      <c r="C653" t="s">
        <v>357</v>
      </c>
      <c r="D653" t="s">
        <v>20</v>
      </c>
    </row>
    <row r="654" spans="1:4" x14ac:dyDescent="0.25">
      <c r="A654" s="2" t="s">
        <v>370</v>
      </c>
      <c r="B654" s="1">
        <v>11475</v>
      </c>
      <c r="C654" t="s">
        <v>357</v>
      </c>
      <c r="D654" t="s">
        <v>20</v>
      </c>
    </row>
    <row r="655" spans="1:4" x14ac:dyDescent="0.25">
      <c r="A655" s="2" t="s">
        <v>371</v>
      </c>
      <c r="B655" s="1">
        <v>11475</v>
      </c>
      <c r="C655" t="s">
        <v>357</v>
      </c>
      <c r="D655" t="s">
        <v>20</v>
      </c>
    </row>
    <row r="656" spans="1:4" x14ac:dyDescent="0.25">
      <c r="A656" s="2" t="s">
        <v>372</v>
      </c>
      <c r="B656" s="1">
        <v>11316</v>
      </c>
      <c r="C656" t="s">
        <v>357</v>
      </c>
      <c r="D656" t="s">
        <v>20</v>
      </c>
    </row>
    <row r="657" spans="1:4" x14ac:dyDescent="0.25">
      <c r="A657" s="2" t="s">
        <v>373</v>
      </c>
      <c r="B657" s="1">
        <v>11351</v>
      </c>
      <c r="C657" t="s">
        <v>357</v>
      </c>
      <c r="D657" t="s">
        <v>20</v>
      </c>
    </row>
    <row r="658" spans="1:4" x14ac:dyDescent="0.25">
      <c r="A658" s="2" t="s">
        <v>374</v>
      </c>
      <c r="B658" s="1">
        <v>11308</v>
      </c>
      <c r="C658" t="s">
        <v>357</v>
      </c>
      <c r="D658" t="s">
        <v>20</v>
      </c>
    </row>
    <row r="659" spans="1:4" x14ac:dyDescent="0.25">
      <c r="A659" s="2" t="s">
        <v>375</v>
      </c>
      <c r="B659" s="1">
        <v>11308</v>
      </c>
      <c r="C659" t="s">
        <v>357</v>
      </c>
      <c r="D659" t="s">
        <v>20</v>
      </c>
    </row>
    <row r="660" spans="1:4" x14ac:dyDescent="0.25">
      <c r="A660" s="2" t="s">
        <v>376</v>
      </c>
      <c r="B660" s="1">
        <v>11308</v>
      </c>
      <c r="C660" t="s">
        <v>357</v>
      </c>
      <c r="D660" t="s">
        <v>20</v>
      </c>
    </row>
    <row r="661" spans="1:4" x14ac:dyDescent="0.25">
      <c r="A661" s="2" t="s">
        <v>377</v>
      </c>
      <c r="B661" s="1">
        <v>11353</v>
      </c>
      <c r="C661" t="s">
        <v>357</v>
      </c>
      <c r="D661" t="s">
        <v>20</v>
      </c>
    </row>
    <row r="662" spans="1:4" x14ac:dyDescent="0.25">
      <c r="A662" s="2" t="s">
        <v>378</v>
      </c>
      <c r="B662" s="1">
        <v>11341</v>
      </c>
      <c r="C662" t="s">
        <v>357</v>
      </c>
      <c r="D662" t="s">
        <v>20</v>
      </c>
    </row>
    <row r="663" spans="1:4" x14ac:dyDescent="0.25">
      <c r="A663" s="2" t="s">
        <v>379</v>
      </c>
      <c r="B663" s="1">
        <v>11258</v>
      </c>
      <c r="C663" t="s">
        <v>357</v>
      </c>
      <c r="D663" t="s">
        <v>20</v>
      </c>
    </row>
    <row r="664" spans="1:4" x14ac:dyDescent="0.25">
      <c r="A664" s="2" t="s">
        <v>380</v>
      </c>
      <c r="B664" s="1">
        <v>11268</v>
      </c>
      <c r="C664" t="s">
        <v>357</v>
      </c>
      <c r="D664" t="s">
        <v>20</v>
      </c>
    </row>
    <row r="665" spans="1:4" x14ac:dyDescent="0.25">
      <c r="A665" s="2" t="s">
        <v>381</v>
      </c>
      <c r="B665" s="1">
        <v>11142</v>
      </c>
      <c r="C665" t="s">
        <v>357</v>
      </c>
      <c r="D665" t="s">
        <v>20</v>
      </c>
    </row>
    <row r="666" spans="1:4" x14ac:dyDescent="0.25">
      <c r="A666" s="2" t="s">
        <v>382</v>
      </c>
      <c r="B666" s="1">
        <v>11142</v>
      </c>
      <c r="C666" t="s">
        <v>357</v>
      </c>
      <c r="D666" t="s">
        <v>20</v>
      </c>
    </row>
    <row r="667" spans="1:4" x14ac:dyDescent="0.25">
      <c r="A667" s="2" t="s">
        <v>383</v>
      </c>
      <c r="B667" s="1">
        <v>11142</v>
      </c>
      <c r="C667" t="s">
        <v>357</v>
      </c>
      <c r="D667" t="s">
        <v>20</v>
      </c>
    </row>
    <row r="668" spans="1:4" x14ac:dyDescent="0.25">
      <c r="A668" s="2" t="s">
        <v>384</v>
      </c>
      <c r="B668" s="1">
        <v>11018</v>
      </c>
      <c r="C668" t="s">
        <v>357</v>
      </c>
      <c r="D668" t="s">
        <v>20</v>
      </c>
    </row>
    <row r="669" spans="1:4" x14ac:dyDescent="0.25">
      <c r="A669" s="2" t="s">
        <v>385</v>
      </c>
      <c r="B669" s="1">
        <v>11076</v>
      </c>
      <c r="C669" t="s">
        <v>357</v>
      </c>
      <c r="D669" t="s">
        <v>20</v>
      </c>
    </row>
    <row r="670" spans="1:4" x14ac:dyDescent="0.25">
      <c r="A670" s="2" t="s">
        <v>386</v>
      </c>
      <c r="B670" s="1">
        <v>11161</v>
      </c>
      <c r="C670" t="s">
        <v>357</v>
      </c>
      <c r="D670" t="s">
        <v>20</v>
      </c>
    </row>
    <row r="671" spans="1:4" x14ac:dyDescent="0.25">
      <c r="A671" s="2" t="s">
        <v>387</v>
      </c>
      <c r="B671" s="1">
        <v>11234</v>
      </c>
      <c r="C671" t="s">
        <v>357</v>
      </c>
      <c r="D671" t="s">
        <v>20</v>
      </c>
    </row>
    <row r="672" spans="1:4" x14ac:dyDescent="0.25">
      <c r="A672" s="2" t="s">
        <v>388</v>
      </c>
      <c r="B672" s="1">
        <v>11354</v>
      </c>
      <c r="C672" t="s">
        <v>389</v>
      </c>
      <c r="D672" t="s">
        <v>20</v>
      </c>
    </row>
    <row r="673" spans="1:4" x14ac:dyDescent="0.25">
      <c r="A673" s="2" t="s">
        <v>390</v>
      </c>
      <c r="B673" s="1">
        <v>11354</v>
      </c>
      <c r="C673" t="s">
        <v>389</v>
      </c>
      <c r="D673" t="s">
        <v>20</v>
      </c>
    </row>
    <row r="674" spans="1:4" x14ac:dyDescent="0.25">
      <c r="A674" s="2" t="s">
        <v>391</v>
      </c>
      <c r="B674" s="1">
        <v>11354</v>
      </c>
      <c r="C674" t="s">
        <v>389</v>
      </c>
      <c r="D674" t="s">
        <v>20</v>
      </c>
    </row>
    <row r="675" spans="1:4" x14ac:dyDescent="0.25">
      <c r="A675" s="2" t="s">
        <v>392</v>
      </c>
      <c r="B675" s="1">
        <v>11389</v>
      </c>
      <c r="C675" t="s">
        <v>389</v>
      </c>
      <c r="D675" t="s">
        <v>20</v>
      </c>
    </row>
    <row r="676" spans="1:4" x14ac:dyDescent="0.25">
      <c r="A676" s="2" t="s">
        <v>393</v>
      </c>
      <c r="B676" s="1">
        <v>11389</v>
      </c>
      <c r="C676" t="s">
        <v>389</v>
      </c>
      <c r="D676" t="s">
        <v>20</v>
      </c>
    </row>
    <row r="677" spans="1:4" x14ac:dyDescent="0.25">
      <c r="A677" s="2" t="s">
        <v>394</v>
      </c>
      <c r="B677" s="1">
        <v>11414</v>
      </c>
      <c r="C677" t="s">
        <v>389</v>
      </c>
      <c r="D677" t="s">
        <v>20</v>
      </c>
    </row>
    <row r="678" spans="1:4" x14ac:dyDescent="0.25">
      <c r="A678" s="2" t="s">
        <v>395</v>
      </c>
      <c r="B678" s="1">
        <v>11389</v>
      </c>
      <c r="C678" t="s">
        <v>389</v>
      </c>
      <c r="D678" t="s">
        <v>20</v>
      </c>
    </row>
    <row r="679" spans="1:4" x14ac:dyDescent="0.25">
      <c r="A679" s="2" t="s">
        <v>396</v>
      </c>
      <c r="B679" s="1">
        <v>11404</v>
      </c>
      <c r="C679" t="s">
        <v>389</v>
      </c>
      <c r="D679" t="s">
        <v>20</v>
      </c>
    </row>
    <row r="680" spans="1:4" x14ac:dyDescent="0.25">
      <c r="A680" s="2" t="s">
        <v>397</v>
      </c>
      <c r="B680" s="1">
        <v>11404</v>
      </c>
      <c r="C680" t="s">
        <v>389</v>
      </c>
      <c r="D680" t="s">
        <v>20</v>
      </c>
    </row>
    <row r="681" spans="1:4" x14ac:dyDescent="0.25">
      <c r="A681" s="2" t="s">
        <v>398</v>
      </c>
      <c r="B681" s="1">
        <v>11404</v>
      </c>
      <c r="C681" t="s">
        <v>389</v>
      </c>
      <c r="D681" t="s">
        <v>20</v>
      </c>
    </row>
    <row r="682" spans="1:4" x14ac:dyDescent="0.25">
      <c r="A682" s="2" t="s">
        <v>399</v>
      </c>
      <c r="B682" s="1">
        <v>11486</v>
      </c>
      <c r="C682" t="s">
        <v>389</v>
      </c>
      <c r="D682" t="s">
        <v>20</v>
      </c>
    </row>
    <row r="683" spans="1:4" x14ac:dyDescent="0.25">
      <c r="A683" s="2" t="s">
        <v>400</v>
      </c>
      <c r="B683" s="1">
        <v>11578</v>
      </c>
      <c r="C683" t="s">
        <v>389</v>
      </c>
      <c r="D683" t="s">
        <v>20</v>
      </c>
    </row>
    <row r="684" spans="1:4" x14ac:dyDescent="0.25">
      <c r="A684" s="2" t="s">
        <v>401</v>
      </c>
      <c r="B684" s="1">
        <v>11644</v>
      </c>
      <c r="C684" t="s">
        <v>389</v>
      </c>
      <c r="D684" t="s">
        <v>20</v>
      </c>
    </row>
    <row r="685" spans="1:4" x14ac:dyDescent="0.25">
      <c r="A685" s="2" t="s">
        <v>402</v>
      </c>
      <c r="B685" s="1">
        <v>11546</v>
      </c>
      <c r="C685" t="s">
        <v>389</v>
      </c>
      <c r="D685" t="s">
        <v>20</v>
      </c>
    </row>
    <row r="686" spans="1:4" x14ac:dyDescent="0.25">
      <c r="A686" s="2" t="s">
        <v>403</v>
      </c>
      <c r="B686" s="1">
        <v>11561</v>
      </c>
      <c r="C686" t="s">
        <v>389</v>
      </c>
      <c r="D686" t="s">
        <v>20</v>
      </c>
    </row>
    <row r="687" spans="1:4" x14ac:dyDescent="0.25">
      <c r="A687" s="2" t="s">
        <v>404</v>
      </c>
      <c r="B687" s="1">
        <v>11561</v>
      </c>
      <c r="C687" t="s">
        <v>389</v>
      </c>
      <c r="D687" t="s">
        <v>20</v>
      </c>
    </row>
    <row r="688" spans="1:4" x14ac:dyDescent="0.25">
      <c r="A688" s="2" t="s">
        <v>405</v>
      </c>
      <c r="B688" s="1">
        <v>11561</v>
      </c>
      <c r="C688" t="s">
        <v>389</v>
      </c>
      <c r="D688" t="s">
        <v>20</v>
      </c>
    </row>
    <row r="689" spans="1:4" x14ac:dyDescent="0.25">
      <c r="A689" s="2" t="s">
        <v>406</v>
      </c>
      <c r="B689" s="1">
        <v>11627</v>
      </c>
      <c r="C689" t="s">
        <v>389</v>
      </c>
      <c r="D689" t="s">
        <v>20</v>
      </c>
    </row>
    <row r="690" spans="1:4" x14ac:dyDescent="0.25">
      <c r="A690" s="2" t="s">
        <v>407</v>
      </c>
      <c r="B690" s="1">
        <v>11609</v>
      </c>
      <c r="C690" t="s">
        <v>389</v>
      </c>
      <c r="D690" t="s">
        <v>20</v>
      </c>
    </row>
    <row r="691" spans="1:4" x14ac:dyDescent="0.25">
      <c r="A691" s="2" t="s">
        <v>408</v>
      </c>
      <c r="B691" s="1">
        <v>11631</v>
      </c>
      <c r="C691" t="s">
        <v>389</v>
      </c>
      <c r="D691" t="s">
        <v>20</v>
      </c>
    </row>
    <row r="692" spans="1:4" x14ac:dyDescent="0.25">
      <c r="A692" s="2" t="s">
        <v>409</v>
      </c>
      <c r="B692" s="1">
        <v>11717</v>
      </c>
      <c r="C692" t="s">
        <v>389</v>
      </c>
      <c r="D692" t="s">
        <v>20</v>
      </c>
    </row>
    <row r="693" spans="1:4" x14ac:dyDescent="0.25">
      <c r="A693" s="2" t="s">
        <v>410</v>
      </c>
      <c r="B693" s="1">
        <v>11706</v>
      </c>
      <c r="C693" t="s">
        <v>389</v>
      </c>
      <c r="D693" t="s">
        <v>20</v>
      </c>
    </row>
    <row r="694" spans="1:4" x14ac:dyDescent="0.25">
      <c r="A694" s="2" t="s">
        <v>411</v>
      </c>
      <c r="B694" s="1">
        <v>11706</v>
      </c>
      <c r="C694" t="s">
        <v>389</v>
      </c>
      <c r="D694" t="s">
        <v>20</v>
      </c>
    </row>
    <row r="695" spans="1:4" x14ac:dyDescent="0.25">
      <c r="A695" s="2" t="s">
        <v>412</v>
      </c>
      <c r="B695" s="1">
        <v>11706</v>
      </c>
      <c r="C695" t="s">
        <v>389</v>
      </c>
      <c r="D695" t="s">
        <v>20</v>
      </c>
    </row>
    <row r="696" spans="1:4" x14ac:dyDescent="0.25">
      <c r="A696" s="2" t="s">
        <v>413</v>
      </c>
      <c r="B696" s="1">
        <v>11722</v>
      </c>
      <c r="C696" t="s">
        <v>389</v>
      </c>
      <c r="D696" t="s">
        <v>20</v>
      </c>
    </row>
    <row r="697" spans="1:4" x14ac:dyDescent="0.25">
      <c r="A697" s="2" t="s">
        <v>414</v>
      </c>
      <c r="B697" s="1">
        <v>11765</v>
      </c>
      <c r="C697" t="s">
        <v>389</v>
      </c>
      <c r="D697" t="s">
        <v>20</v>
      </c>
    </row>
    <row r="698" spans="1:4" x14ac:dyDescent="0.25">
      <c r="A698" s="2" t="s">
        <v>415</v>
      </c>
      <c r="B698" s="1">
        <v>11813</v>
      </c>
      <c r="C698" t="s">
        <v>389</v>
      </c>
      <c r="D698" t="s">
        <v>20</v>
      </c>
    </row>
    <row r="699" spans="1:4" x14ac:dyDescent="0.25">
      <c r="A699" s="2" t="s">
        <v>416</v>
      </c>
      <c r="B699" s="1">
        <v>11930</v>
      </c>
      <c r="C699" t="s">
        <v>389</v>
      </c>
      <c r="D699" t="s">
        <v>20</v>
      </c>
    </row>
    <row r="700" spans="1:4" x14ac:dyDescent="0.25">
      <c r="A700" s="2" t="s">
        <v>417</v>
      </c>
      <c r="B700" s="1">
        <v>11977</v>
      </c>
      <c r="C700" t="s">
        <v>389</v>
      </c>
      <c r="D700" t="s">
        <v>20</v>
      </c>
    </row>
    <row r="701" spans="1:4" x14ac:dyDescent="0.25">
      <c r="A701" s="2" t="s">
        <v>418</v>
      </c>
      <c r="B701" s="1">
        <v>11977</v>
      </c>
      <c r="C701" t="s">
        <v>389</v>
      </c>
      <c r="D701" t="s">
        <v>20</v>
      </c>
    </row>
    <row r="702" spans="1:4" x14ac:dyDescent="0.25">
      <c r="A702" s="2" t="s">
        <v>419</v>
      </c>
      <c r="B702" s="1">
        <v>11977</v>
      </c>
      <c r="C702" t="s">
        <v>420</v>
      </c>
      <c r="D702" t="s">
        <v>20</v>
      </c>
    </row>
    <row r="703" spans="1:4" x14ac:dyDescent="0.25">
      <c r="A703" s="2" t="s">
        <v>421</v>
      </c>
      <c r="B703" s="1">
        <v>11946</v>
      </c>
      <c r="C703" t="s">
        <v>420</v>
      </c>
      <c r="D703" t="s">
        <v>20</v>
      </c>
    </row>
    <row r="704" spans="1:4" x14ac:dyDescent="0.25">
      <c r="A704" s="2" t="s">
        <v>422</v>
      </c>
      <c r="B704" s="1">
        <v>11830</v>
      </c>
      <c r="C704" t="s">
        <v>420</v>
      </c>
      <c r="D704" t="s">
        <v>20</v>
      </c>
    </row>
    <row r="705" spans="1:4" x14ac:dyDescent="0.25">
      <c r="A705" s="2" t="s">
        <v>423</v>
      </c>
      <c r="B705" s="1">
        <v>11960</v>
      </c>
      <c r="C705" t="s">
        <v>420</v>
      </c>
      <c r="D705" t="s">
        <v>20</v>
      </c>
    </row>
    <row r="706" spans="1:4" x14ac:dyDescent="0.25">
      <c r="A706" s="2" t="s">
        <v>424</v>
      </c>
      <c r="B706" s="1">
        <v>12018</v>
      </c>
      <c r="C706" t="s">
        <v>420</v>
      </c>
      <c r="D706" t="s">
        <v>20</v>
      </c>
    </row>
    <row r="707" spans="1:4" x14ac:dyDescent="0.25">
      <c r="A707" s="2" t="s">
        <v>425</v>
      </c>
      <c r="B707" s="1">
        <v>11960</v>
      </c>
      <c r="C707" t="s">
        <v>420</v>
      </c>
      <c r="D707" t="s">
        <v>20</v>
      </c>
    </row>
    <row r="708" spans="1:4" x14ac:dyDescent="0.25">
      <c r="A708" s="2" t="s">
        <v>426</v>
      </c>
      <c r="B708" s="1">
        <v>11960</v>
      </c>
      <c r="C708" t="s">
        <v>420</v>
      </c>
      <c r="D708" t="s">
        <v>20</v>
      </c>
    </row>
    <row r="709" spans="1:4" x14ac:dyDescent="0.25">
      <c r="A709" s="2" t="s">
        <v>427</v>
      </c>
      <c r="B709" s="1">
        <v>11960</v>
      </c>
      <c r="C709" t="s">
        <v>420</v>
      </c>
      <c r="D709" t="s">
        <v>20</v>
      </c>
    </row>
    <row r="710" spans="1:4" x14ac:dyDescent="0.25">
      <c r="A710" s="2" t="s">
        <v>428</v>
      </c>
      <c r="B710" s="1">
        <v>11956</v>
      </c>
      <c r="C710" t="s">
        <v>420</v>
      </c>
      <c r="D710" t="s">
        <v>20</v>
      </c>
    </row>
    <row r="711" spans="1:4" x14ac:dyDescent="0.25">
      <c r="A711" s="2" t="s">
        <v>429</v>
      </c>
      <c r="B711" s="1">
        <v>11985</v>
      </c>
      <c r="C711" t="s">
        <v>420</v>
      </c>
      <c r="D711" t="s">
        <v>20</v>
      </c>
    </row>
    <row r="712" spans="1:4" x14ac:dyDescent="0.25">
      <c r="A712" s="2" t="s">
        <v>430</v>
      </c>
      <c r="B712" s="1">
        <v>12005</v>
      </c>
      <c r="C712" t="s">
        <v>420</v>
      </c>
      <c r="D712" t="s">
        <v>20</v>
      </c>
    </row>
    <row r="713" spans="1:4" x14ac:dyDescent="0.25">
      <c r="A713" s="2" t="s">
        <v>431</v>
      </c>
      <c r="B713" s="1">
        <v>12025</v>
      </c>
      <c r="C713" t="s">
        <v>420</v>
      </c>
      <c r="D713" t="s">
        <v>20</v>
      </c>
    </row>
    <row r="714" spans="1:4" x14ac:dyDescent="0.25">
      <c r="A714" s="2" t="s">
        <v>432</v>
      </c>
      <c r="B714" s="1">
        <v>12081</v>
      </c>
      <c r="C714" t="s">
        <v>420</v>
      </c>
      <c r="D714" t="s">
        <v>20</v>
      </c>
    </row>
    <row r="715" spans="1:4" x14ac:dyDescent="0.25">
      <c r="A715" s="2" t="s">
        <v>433</v>
      </c>
      <c r="B715" s="1">
        <v>12081</v>
      </c>
      <c r="C715" t="s">
        <v>420</v>
      </c>
      <c r="D715" t="s">
        <v>20</v>
      </c>
    </row>
    <row r="716" spans="1:4" x14ac:dyDescent="0.25">
      <c r="A716" s="2" t="s">
        <v>434</v>
      </c>
      <c r="B716" s="1">
        <v>12081</v>
      </c>
      <c r="C716" t="s">
        <v>420</v>
      </c>
      <c r="D716" t="s">
        <v>20</v>
      </c>
    </row>
    <row r="717" spans="1:4" x14ac:dyDescent="0.25">
      <c r="A717" s="2" t="s">
        <v>435</v>
      </c>
      <c r="B717" s="1">
        <v>12105</v>
      </c>
      <c r="C717" t="s">
        <v>420</v>
      </c>
      <c r="D717" t="s">
        <v>20</v>
      </c>
    </row>
    <row r="718" spans="1:4" x14ac:dyDescent="0.25">
      <c r="A718" s="2" t="s">
        <v>436</v>
      </c>
      <c r="B718" s="1">
        <v>12104</v>
      </c>
      <c r="C718" t="s">
        <v>420</v>
      </c>
      <c r="D718" t="s">
        <v>20</v>
      </c>
    </row>
    <row r="719" spans="1:4" x14ac:dyDescent="0.25">
      <c r="A719" s="2" t="s">
        <v>437</v>
      </c>
      <c r="B719" s="1">
        <v>12151</v>
      </c>
      <c r="C719" t="s">
        <v>420</v>
      </c>
      <c r="D719" t="s">
        <v>20</v>
      </c>
    </row>
    <row r="720" spans="1:4" x14ac:dyDescent="0.25">
      <c r="A720" s="2" t="s">
        <v>438</v>
      </c>
      <c r="B720" s="1">
        <v>12191</v>
      </c>
      <c r="C720" t="s">
        <v>420</v>
      </c>
      <c r="D720" t="s">
        <v>20</v>
      </c>
    </row>
    <row r="721" spans="1:4" x14ac:dyDescent="0.25">
      <c r="A721" s="2" t="s">
        <v>439</v>
      </c>
      <c r="B721" s="1">
        <v>12245</v>
      </c>
      <c r="C721" t="s">
        <v>420</v>
      </c>
      <c r="D721" t="s">
        <v>20</v>
      </c>
    </row>
    <row r="722" spans="1:4" x14ac:dyDescent="0.25">
      <c r="A722" s="2" t="s">
        <v>440</v>
      </c>
      <c r="B722" s="1">
        <v>12245</v>
      </c>
      <c r="C722" t="s">
        <v>420</v>
      </c>
      <c r="D722" t="s">
        <v>20</v>
      </c>
    </row>
    <row r="723" spans="1:4" x14ac:dyDescent="0.25">
      <c r="A723" s="2" t="s">
        <v>441</v>
      </c>
      <c r="B723" s="1">
        <v>12245</v>
      </c>
      <c r="C723" t="s">
        <v>420</v>
      </c>
      <c r="D723" t="s">
        <v>20</v>
      </c>
    </row>
    <row r="724" spans="1:4" x14ac:dyDescent="0.25">
      <c r="A724" s="2" t="s">
        <v>442</v>
      </c>
      <c r="B724" s="1">
        <v>12246</v>
      </c>
      <c r="C724" t="s">
        <v>420</v>
      </c>
      <c r="D724" t="s">
        <v>20</v>
      </c>
    </row>
    <row r="725" spans="1:4" x14ac:dyDescent="0.25">
      <c r="A725" s="2" t="s">
        <v>443</v>
      </c>
      <c r="B725" s="1">
        <v>12215</v>
      </c>
      <c r="C725" t="s">
        <v>420</v>
      </c>
      <c r="D725" t="s">
        <v>20</v>
      </c>
    </row>
    <row r="726" spans="1:4" x14ac:dyDescent="0.25">
      <c r="A726" s="2" t="s">
        <v>444</v>
      </c>
      <c r="B726" s="1">
        <v>12215</v>
      </c>
      <c r="C726" t="s">
        <v>420</v>
      </c>
      <c r="D726" t="s">
        <v>20</v>
      </c>
    </row>
    <row r="727" spans="1:4" x14ac:dyDescent="0.25">
      <c r="A727" s="2" t="s">
        <v>445</v>
      </c>
      <c r="B727" s="1">
        <v>12215</v>
      </c>
      <c r="C727" t="s">
        <v>420</v>
      </c>
      <c r="D727" t="s">
        <v>20</v>
      </c>
    </row>
    <row r="728" spans="1:4" x14ac:dyDescent="0.25">
      <c r="A728" s="2" t="s">
        <v>446</v>
      </c>
      <c r="B728" s="1">
        <v>12260</v>
      </c>
      <c r="C728" t="s">
        <v>420</v>
      </c>
      <c r="D728" t="s">
        <v>20</v>
      </c>
    </row>
    <row r="729" spans="1:4" x14ac:dyDescent="0.25">
      <c r="A729" s="2" t="s">
        <v>447</v>
      </c>
      <c r="B729" s="1">
        <v>12260</v>
      </c>
      <c r="C729" t="s">
        <v>420</v>
      </c>
      <c r="D729" t="s">
        <v>20</v>
      </c>
    </row>
    <row r="730" spans="1:4" x14ac:dyDescent="0.25">
      <c r="A730" s="2" t="s">
        <v>448</v>
      </c>
      <c r="B730" s="1">
        <v>12260</v>
      </c>
      <c r="C730" t="s">
        <v>420</v>
      </c>
      <c r="D730" t="s">
        <v>20</v>
      </c>
    </row>
    <row r="731" spans="1:4" x14ac:dyDescent="0.25">
      <c r="A731" s="2" t="s">
        <v>449</v>
      </c>
      <c r="B731" s="1">
        <v>12270</v>
      </c>
      <c r="C731" t="s">
        <v>420</v>
      </c>
      <c r="D731" t="s">
        <v>20</v>
      </c>
    </row>
    <row r="732" spans="1:4" x14ac:dyDescent="0.25">
      <c r="A732" s="2" t="s">
        <v>450</v>
      </c>
      <c r="B732" s="1">
        <v>12189</v>
      </c>
      <c r="C732" t="s">
        <v>420</v>
      </c>
      <c r="D732" t="s">
        <v>20</v>
      </c>
    </row>
    <row r="733" spans="1:4" x14ac:dyDescent="0.25">
      <c r="A733" s="2" t="s">
        <v>451</v>
      </c>
      <c r="B733" s="1">
        <v>12189</v>
      </c>
      <c r="C733" t="s">
        <v>452</v>
      </c>
      <c r="D733" t="s">
        <v>21</v>
      </c>
    </row>
    <row r="734" spans="1:4" x14ac:dyDescent="0.25">
      <c r="A734" s="2" t="s">
        <v>453</v>
      </c>
      <c r="B734" s="1">
        <v>12242</v>
      </c>
      <c r="C734" t="s">
        <v>452</v>
      </c>
      <c r="D734" t="s">
        <v>21</v>
      </c>
    </row>
    <row r="735" spans="1:4" x14ac:dyDescent="0.25">
      <c r="A735" s="2" t="s">
        <v>454</v>
      </c>
      <c r="B735" s="1">
        <v>12226</v>
      </c>
      <c r="C735" t="s">
        <v>452</v>
      </c>
      <c r="D735" t="s">
        <v>21</v>
      </c>
    </row>
    <row r="736" spans="1:4" x14ac:dyDescent="0.25">
      <c r="A736" s="2" t="s">
        <v>455</v>
      </c>
      <c r="B736" s="1">
        <v>12226</v>
      </c>
      <c r="C736" t="s">
        <v>452</v>
      </c>
      <c r="D736" t="s">
        <v>21</v>
      </c>
    </row>
    <row r="737" spans="1:4" x14ac:dyDescent="0.25">
      <c r="A737" s="2" t="s">
        <v>456</v>
      </c>
      <c r="B737" s="1">
        <v>12226</v>
      </c>
      <c r="C737" t="s">
        <v>452</v>
      </c>
      <c r="D737" t="s">
        <v>21</v>
      </c>
    </row>
    <row r="738" spans="1:4" x14ac:dyDescent="0.25">
      <c r="A738" s="2" t="s">
        <v>457</v>
      </c>
      <c r="B738" s="1">
        <v>12230</v>
      </c>
      <c r="C738" t="s">
        <v>452</v>
      </c>
      <c r="D738" t="s">
        <v>21</v>
      </c>
    </row>
    <row r="739" spans="1:4" x14ac:dyDescent="0.25">
      <c r="A739" s="2" t="s">
        <v>458</v>
      </c>
      <c r="B739" s="1">
        <v>12262</v>
      </c>
      <c r="C739" t="s">
        <v>452</v>
      </c>
      <c r="D739" t="s">
        <v>21</v>
      </c>
    </row>
    <row r="740" spans="1:4" x14ac:dyDescent="0.25">
      <c r="A740" s="2" t="s">
        <v>459</v>
      </c>
      <c r="B740" s="1">
        <v>12229</v>
      </c>
      <c r="C740" t="s">
        <v>452</v>
      </c>
      <c r="D740" t="s">
        <v>21</v>
      </c>
    </row>
    <row r="741" spans="1:4" x14ac:dyDescent="0.25">
      <c r="A741" s="2" t="s">
        <v>460</v>
      </c>
      <c r="B741" s="1">
        <v>12263</v>
      </c>
      <c r="C741" t="s">
        <v>452</v>
      </c>
      <c r="D741" t="s">
        <v>21</v>
      </c>
    </row>
    <row r="742" spans="1:4" x14ac:dyDescent="0.25">
      <c r="A742" s="2" t="s">
        <v>461</v>
      </c>
      <c r="B742" s="1">
        <v>12197</v>
      </c>
      <c r="C742" t="s">
        <v>452</v>
      </c>
      <c r="D742" t="s">
        <v>21</v>
      </c>
    </row>
    <row r="743" spans="1:4" x14ac:dyDescent="0.25">
      <c r="A743" s="2" t="s">
        <v>462</v>
      </c>
      <c r="B743" s="1">
        <v>12197</v>
      </c>
      <c r="C743" t="s">
        <v>452</v>
      </c>
      <c r="D743" t="s">
        <v>21</v>
      </c>
    </row>
    <row r="744" spans="1:4" x14ac:dyDescent="0.25">
      <c r="A744" s="2" t="s">
        <v>463</v>
      </c>
      <c r="B744" s="1">
        <v>12197</v>
      </c>
      <c r="C744" t="s">
        <v>452</v>
      </c>
      <c r="D744" t="s">
        <v>21</v>
      </c>
    </row>
    <row r="745" spans="1:4" x14ac:dyDescent="0.25">
      <c r="A745" s="2" t="s">
        <v>464</v>
      </c>
      <c r="B745" s="1">
        <v>12047</v>
      </c>
      <c r="C745" t="s">
        <v>452</v>
      </c>
      <c r="D745" t="s">
        <v>21</v>
      </c>
    </row>
    <row r="746" spans="1:4" x14ac:dyDescent="0.25">
      <c r="A746" s="2" t="s">
        <v>465</v>
      </c>
      <c r="B746" s="1">
        <v>12047</v>
      </c>
      <c r="C746" t="s">
        <v>452</v>
      </c>
      <c r="D746" t="s">
        <v>21</v>
      </c>
    </row>
    <row r="747" spans="1:4" x14ac:dyDescent="0.25">
      <c r="A747" s="2" t="s">
        <v>466</v>
      </c>
      <c r="B747" s="1">
        <v>12077</v>
      </c>
      <c r="C747" t="s">
        <v>452</v>
      </c>
      <c r="D747" t="s">
        <v>21</v>
      </c>
    </row>
    <row r="748" spans="1:4" x14ac:dyDescent="0.25">
      <c r="A748" s="2" t="s">
        <v>467</v>
      </c>
      <c r="B748" s="1">
        <v>12117</v>
      </c>
      <c r="C748" t="s">
        <v>452</v>
      </c>
      <c r="D748" t="s">
        <v>21</v>
      </c>
    </row>
    <row r="749" spans="1:4" x14ac:dyDescent="0.25">
      <c r="A749" s="2" t="s">
        <v>468</v>
      </c>
      <c r="B749" s="1">
        <v>12127</v>
      </c>
      <c r="C749" t="s">
        <v>452</v>
      </c>
      <c r="D749" t="s">
        <v>21</v>
      </c>
    </row>
    <row r="750" spans="1:4" x14ac:dyDescent="0.25">
      <c r="A750" s="2" t="s">
        <v>469</v>
      </c>
      <c r="B750" s="1">
        <v>12127</v>
      </c>
      <c r="C750" t="s">
        <v>452</v>
      </c>
      <c r="D750" t="s">
        <v>21</v>
      </c>
    </row>
    <row r="751" spans="1:4" x14ac:dyDescent="0.25">
      <c r="A751" s="2" t="s">
        <v>470</v>
      </c>
      <c r="B751" s="1">
        <v>12127</v>
      </c>
      <c r="C751" t="s">
        <v>452</v>
      </c>
      <c r="D751" t="s">
        <v>21</v>
      </c>
    </row>
    <row r="752" spans="1:4" x14ac:dyDescent="0.25">
      <c r="A752" s="2" t="s">
        <v>471</v>
      </c>
      <c r="B752" s="1">
        <v>12110</v>
      </c>
      <c r="C752" t="s">
        <v>452</v>
      </c>
      <c r="D752" t="s">
        <v>21</v>
      </c>
    </row>
    <row r="753" spans="1:4" x14ac:dyDescent="0.25">
      <c r="A753" s="2" t="s">
        <v>472</v>
      </c>
      <c r="B753" s="1">
        <v>12122</v>
      </c>
      <c r="C753" t="s">
        <v>452</v>
      </c>
      <c r="D753" t="s">
        <v>21</v>
      </c>
    </row>
    <row r="754" spans="1:4" x14ac:dyDescent="0.25">
      <c r="A754" s="2" t="s">
        <v>473</v>
      </c>
      <c r="B754" s="1">
        <v>12149</v>
      </c>
      <c r="C754" t="s">
        <v>452</v>
      </c>
      <c r="D754" t="s">
        <v>21</v>
      </c>
    </row>
    <row r="755" spans="1:4" x14ac:dyDescent="0.25">
      <c r="A755" s="2" t="s">
        <v>474</v>
      </c>
      <c r="B755" s="1">
        <v>12173</v>
      </c>
      <c r="C755" t="s">
        <v>452</v>
      </c>
      <c r="D755" t="s">
        <v>21</v>
      </c>
    </row>
    <row r="756" spans="1:4" x14ac:dyDescent="0.25">
      <c r="A756" s="2" t="s">
        <v>475</v>
      </c>
      <c r="B756" s="1">
        <v>12177</v>
      </c>
      <c r="C756" t="s">
        <v>452</v>
      </c>
      <c r="D756" t="s">
        <v>21</v>
      </c>
    </row>
    <row r="757" spans="1:4" x14ac:dyDescent="0.25">
      <c r="A757" s="2" t="s">
        <v>476</v>
      </c>
      <c r="B757" s="1">
        <v>12177</v>
      </c>
      <c r="C757" t="s">
        <v>452</v>
      </c>
      <c r="D757" t="s">
        <v>21</v>
      </c>
    </row>
    <row r="758" spans="1:4" x14ac:dyDescent="0.25">
      <c r="A758" s="2" t="s">
        <v>477</v>
      </c>
      <c r="B758" s="1">
        <v>12177</v>
      </c>
      <c r="C758" t="s">
        <v>452</v>
      </c>
      <c r="D758" t="s">
        <v>21</v>
      </c>
    </row>
    <row r="759" spans="1:4" x14ac:dyDescent="0.25">
      <c r="A759" s="2" t="s">
        <v>478</v>
      </c>
      <c r="B759" s="1">
        <v>12198</v>
      </c>
      <c r="C759" t="s">
        <v>452</v>
      </c>
      <c r="D759" t="s">
        <v>21</v>
      </c>
    </row>
    <row r="760" spans="1:4" x14ac:dyDescent="0.25">
      <c r="A760" s="2" t="s">
        <v>479</v>
      </c>
      <c r="B760" s="1">
        <v>12267</v>
      </c>
      <c r="C760" t="s">
        <v>452</v>
      </c>
      <c r="D760" t="s">
        <v>21</v>
      </c>
    </row>
    <row r="761" spans="1:4" x14ac:dyDescent="0.25">
      <c r="A761" s="2" t="s">
        <v>480</v>
      </c>
      <c r="B761" s="1">
        <v>12154</v>
      </c>
      <c r="C761" t="s">
        <v>452</v>
      </c>
      <c r="D761" t="s">
        <v>21</v>
      </c>
    </row>
    <row r="762" spans="1:4" x14ac:dyDescent="0.25">
      <c r="A762" s="2" t="s">
        <v>481</v>
      </c>
      <c r="B762" s="1">
        <v>12226</v>
      </c>
      <c r="C762" t="s">
        <v>452</v>
      </c>
      <c r="D762" t="s">
        <v>21</v>
      </c>
    </row>
    <row r="763" spans="1:4" x14ac:dyDescent="0.25">
      <c r="A763" s="2" t="s">
        <v>482</v>
      </c>
      <c r="B763" s="1">
        <v>12226</v>
      </c>
      <c r="C763" t="s">
        <v>452</v>
      </c>
      <c r="D763" t="s">
        <v>21</v>
      </c>
    </row>
    <row r="764" spans="1:4" x14ac:dyDescent="0.25">
      <c r="A764" s="2" t="s">
        <v>483</v>
      </c>
      <c r="B764" s="1">
        <v>12226</v>
      </c>
      <c r="C764" t="s">
        <v>484</v>
      </c>
      <c r="D764" t="s">
        <v>21</v>
      </c>
    </row>
    <row r="765" spans="1:4" x14ac:dyDescent="0.25">
      <c r="A765" s="2" t="s">
        <v>485</v>
      </c>
      <c r="B765" s="1">
        <v>12226</v>
      </c>
      <c r="C765" t="s">
        <v>484</v>
      </c>
      <c r="D765" t="s">
        <v>21</v>
      </c>
    </row>
    <row r="766" spans="1:4" x14ac:dyDescent="0.25">
      <c r="A766" s="2" t="s">
        <v>486</v>
      </c>
      <c r="B766" s="1">
        <v>12251</v>
      </c>
      <c r="C766" t="s">
        <v>484</v>
      </c>
      <c r="D766" t="s">
        <v>21</v>
      </c>
    </row>
    <row r="767" spans="1:4" x14ac:dyDescent="0.25">
      <c r="A767" s="2" t="s">
        <v>487</v>
      </c>
      <c r="B767" s="1">
        <v>12248</v>
      </c>
      <c r="C767" t="s">
        <v>484</v>
      </c>
      <c r="D767" t="s">
        <v>21</v>
      </c>
    </row>
    <row r="768" spans="1:4" x14ac:dyDescent="0.25">
      <c r="A768" s="2" t="s">
        <v>488</v>
      </c>
      <c r="B768" s="1">
        <v>12172</v>
      </c>
      <c r="C768" t="s">
        <v>484</v>
      </c>
      <c r="D768" t="s">
        <v>21</v>
      </c>
    </row>
    <row r="769" spans="1:4" x14ac:dyDescent="0.25">
      <c r="A769" s="2" t="s">
        <v>489</v>
      </c>
      <c r="B769" s="1">
        <v>12159</v>
      </c>
      <c r="C769" t="s">
        <v>484</v>
      </c>
      <c r="D769" t="s">
        <v>21</v>
      </c>
    </row>
    <row r="770" spans="1:4" x14ac:dyDescent="0.25">
      <c r="A770" s="2" t="s">
        <v>490</v>
      </c>
      <c r="B770" s="1">
        <v>12176</v>
      </c>
      <c r="C770" t="s">
        <v>484</v>
      </c>
      <c r="D770" t="s">
        <v>21</v>
      </c>
    </row>
    <row r="771" spans="1:4" x14ac:dyDescent="0.25">
      <c r="A771" s="2" t="s">
        <v>491</v>
      </c>
      <c r="B771" s="1">
        <v>12176</v>
      </c>
      <c r="C771" t="s">
        <v>484</v>
      </c>
      <c r="D771" t="s">
        <v>21</v>
      </c>
    </row>
    <row r="772" spans="1:4" x14ac:dyDescent="0.25">
      <c r="A772" s="2" t="s">
        <v>492</v>
      </c>
      <c r="B772" s="1">
        <v>12176</v>
      </c>
      <c r="C772" t="s">
        <v>484</v>
      </c>
      <c r="D772" t="s">
        <v>21</v>
      </c>
    </row>
    <row r="773" spans="1:4" x14ac:dyDescent="0.25">
      <c r="A773" s="2" t="s">
        <v>493</v>
      </c>
      <c r="B773" s="1">
        <v>12166</v>
      </c>
      <c r="C773" t="s">
        <v>484</v>
      </c>
      <c r="D773" t="s">
        <v>21</v>
      </c>
    </row>
    <row r="774" spans="1:4" x14ac:dyDescent="0.25">
      <c r="A774" s="2" t="s">
        <v>494</v>
      </c>
      <c r="B774" s="1">
        <v>12174</v>
      </c>
      <c r="C774" t="s">
        <v>484</v>
      </c>
      <c r="D774" t="s">
        <v>21</v>
      </c>
    </row>
    <row r="775" spans="1:4" x14ac:dyDescent="0.25">
      <c r="A775" s="2" t="s">
        <v>495</v>
      </c>
      <c r="B775" s="1">
        <v>12115</v>
      </c>
      <c r="C775" t="s">
        <v>484</v>
      </c>
      <c r="D775" t="s">
        <v>21</v>
      </c>
    </row>
    <row r="776" spans="1:4" x14ac:dyDescent="0.25">
      <c r="A776" s="2" t="s">
        <v>496</v>
      </c>
      <c r="B776" s="1">
        <v>12073</v>
      </c>
      <c r="C776" t="s">
        <v>484</v>
      </c>
      <c r="D776" t="s">
        <v>21</v>
      </c>
    </row>
    <row r="777" spans="1:4" x14ac:dyDescent="0.25">
      <c r="A777" s="2" t="s">
        <v>497</v>
      </c>
      <c r="B777" s="1">
        <v>11886</v>
      </c>
      <c r="C777" t="s">
        <v>484</v>
      </c>
      <c r="D777" t="s">
        <v>21</v>
      </c>
    </row>
    <row r="778" spans="1:4" x14ac:dyDescent="0.25">
      <c r="A778" s="2" t="s">
        <v>498</v>
      </c>
      <c r="B778" s="1">
        <v>11886</v>
      </c>
      <c r="C778" t="s">
        <v>484</v>
      </c>
      <c r="D778" t="s">
        <v>21</v>
      </c>
    </row>
    <row r="779" spans="1:4" x14ac:dyDescent="0.25">
      <c r="A779" s="2" t="s">
        <v>499</v>
      </c>
      <c r="B779" s="1">
        <v>11886</v>
      </c>
      <c r="C779" t="s">
        <v>484</v>
      </c>
      <c r="D779" t="s">
        <v>21</v>
      </c>
    </row>
    <row r="780" spans="1:4" x14ac:dyDescent="0.25">
      <c r="A780" s="2" t="s">
        <v>500</v>
      </c>
      <c r="B780" s="1">
        <v>11716</v>
      </c>
      <c r="C780" t="s">
        <v>484</v>
      </c>
      <c r="D780" t="s">
        <v>21</v>
      </c>
    </row>
    <row r="781" spans="1:4" x14ac:dyDescent="0.25">
      <c r="A781" s="2" t="s">
        <v>501</v>
      </c>
      <c r="B781" s="1">
        <v>11826</v>
      </c>
      <c r="C781" t="s">
        <v>484</v>
      </c>
      <c r="D781" t="s">
        <v>21</v>
      </c>
    </row>
    <row r="782" spans="1:4" x14ac:dyDescent="0.25">
      <c r="A782" s="2" t="s">
        <v>502</v>
      </c>
      <c r="B782" s="1">
        <v>11850</v>
      </c>
      <c r="C782" t="s">
        <v>484</v>
      </c>
      <c r="D782" t="s">
        <v>21</v>
      </c>
    </row>
    <row r="783" spans="1:4" x14ac:dyDescent="0.25">
      <c r="A783" s="2" t="s">
        <v>503</v>
      </c>
      <c r="B783" s="1">
        <v>11772</v>
      </c>
      <c r="C783" t="s">
        <v>484</v>
      </c>
      <c r="D783" t="s">
        <v>21</v>
      </c>
    </row>
    <row r="784" spans="1:4" x14ac:dyDescent="0.25">
      <c r="A784" s="2" t="s">
        <v>504</v>
      </c>
      <c r="B784" s="1">
        <v>11792</v>
      </c>
      <c r="C784" t="s">
        <v>484</v>
      </c>
      <c r="D784" t="s">
        <v>21</v>
      </c>
    </row>
    <row r="785" spans="1:4" x14ac:dyDescent="0.25">
      <c r="A785" s="2" t="s">
        <v>505</v>
      </c>
      <c r="B785" s="1">
        <v>11792</v>
      </c>
      <c r="C785" t="s">
        <v>484</v>
      </c>
      <c r="D785" t="s">
        <v>21</v>
      </c>
    </row>
    <row r="786" spans="1:4" x14ac:dyDescent="0.25">
      <c r="A786" s="2" t="s">
        <v>506</v>
      </c>
      <c r="B786" s="1">
        <v>11792</v>
      </c>
      <c r="C786" t="s">
        <v>484</v>
      </c>
      <c r="D786" t="s">
        <v>21</v>
      </c>
    </row>
    <row r="787" spans="1:4" x14ac:dyDescent="0.25">
      <c r="A787" s="2" t="s">
        <v>507</v>
      </c>
      <c r="B787" s="1">
        <v>11728</v>
      </c>
      <c r="C787" t="s">
        <v>484</v>
      </c>
      <c r="D787" t="s">
        <v>21</v>
      </c>
    </row>
    <row r="788" spans="1:4" x14ac:dyDescent="0.25">
      <c r="A788" s="2" t="s">
        <v>508</v>
      </c>
      <c r="B788" s="1">
        <v>11620</v>
      </c>
      <c r="C788" t="s">
        <v>484</v>
      </c>
      <c r="D788" t="s">
        <v>21</v>
      </c>
    </row>
    <row r="789" spans="1:4" x14ac:dyDescent="0.25">
      <c r="A789" s="2" t="s">
        <v>509</v>
      </c>
      <c r="B789" s="1">
        <v>11669</v>
      </c>
      <c r="C789" t="s">
        <v>484</v>
      </c>
      <c r="D789" t="s">
        <v>21</v>
      </c>
    </row>
    <row r="790" spans="1:4" x14ac:dyDescent="0.25">
      <c r="A790" s="2" t="s">
        <v>510</v>
      </c>
      <c r="B790" s="1">
        <v>11675</v>
      </c>
      <c r="C790" t="s">
        <v>484</v>
      </c>
      <c r="D790" t="s">
        <v>21</v>
      </c>
    </row>
    <row r="791" spans="1:4" x14ac:dyDescent="0.25">
      <c r="A791" s="2" t="s">
        <v>511</v>
      </c>
      <c r="B791" s="1">
        <v>11634</v>
      </c>
      <c r="C791" t="s">
        <v>484</v>
      </c>
      <c r="D791" t="s">
        <v>21</v>
      </c>
    </row>
    <row r="792" spans="1:4" x14ac:dyDescent="0.25">
      <c r="A792" s="2" t="s">
        <v>512</v>
      </c>
      <c r="B792" s="1">
        <v>11634</v>
      </c>
      <c r="C792" t="s">
        <v>513</v>
      </c>
      <c r="D792" t="s">
        <v>21</v>
      </c>
    </row>
    <row r="793" spans="1:4" x14ac:dyDescent="0.25">
      <c r="A793" s="2" t="s">
        <v>514</v>
      </c>
      <c r="B793" s="1">
        <v>11634</v>
      </c>
      <c r="C793" t="s">
        <v>513</v>
      </c>
      <c r="D793" t="s">
        <v>21</v>
      </c>
    </row>
    <row r="794" spans="1:4" x14ac:dyDescent="0.25">
      <c r="A794" s="2" t="s">
        <v>515</v>
      </c>
      <c r="B794" s="1">
        <v>11596</v>
      </c>
      <c r="C794" t="s">
        <v>513</v>
      </c>
      <c r="D794" t="s">
        <v>21</v>
      </c>
    </row>
    <row r="795" spans="1:4" x14ac:dyDescent="0.25">
      <c r="A795" s="2" t="s">
        <v>516</v>
      </c>
      <c r="B795" s="1">
        <v>11647</v>
      </c>
      <c r="C795" t="s">
        <v>513</v>
      </c>
      <c r="D795" t="s">
        <v>21</v>
      </c>
    </row>
    <row r="796" spans="1:4" x14ac:dyDescent="0.25">
      <c r="A796" s="2" t="s">
        <v>517</v>
      </c>
      <c r="B796" s="1">
        <v>11580</v>
      </c>
      <c r="C796" t="s">
        <v>513</v>
      </c>
      <c r="D796" t="s">
        <v>21</v>
      </c>
    </row>
    <row r="797" spans="1:4" x14ac:dyDescent="0.25">
      <c r="A797" s="2" t="s">
        <v>518</v>
      </c>
      <c r="B797" s="1">
        <v>11554</v>
      </c>
      <c r="C797" t="s">
        <v>513</v>
      </c>
      <c r="D797" t="s">
        <v>21</v>
      </c>
    </row>
    <row r="798" spans="1:4" x14ac:dyDescent="0.25">
      <c r="A798" s="2" t="s">
        <v>519</v>
      </c>
      <c r="B798" s="1">
        <v>11395</v>
      </c>
      <c r="C798" t="s">
        <v>513</v>
      </c>
      <c r="D798" t="s">
        <v>21</v>
      </c>
    </row>
    <row r="799" spans="1:4" x14ac:dyDescent="0.25">
      <c r="A799" s="2" t="s">
        <v>520</v>
      </c>
      <c r="B799" s="1">
        <v>11395</v>
      </c>
      <c r="C799" t="s">
        <v>513</v>
      </c>
      <c r="D799" t="s">
        <v>21</v>
      </c>
    </row>
    <row r="800" spans="1:4" x14ac:dyDescent="0.25">
      <c r="A800" s="2" t="s">
        <v>521</v>
      </c>
      <c r="B800" s="1">
        <v>11395</v>
      </c>
      <c r="C800" t="s">
        <v>513</v>
      </c>
      <c r="D800" t="s">
        <v>21</v>
      </c>
    </row>
    <row r="801" spans="1:4" x14ac:dyDescent="0.25">
      <c r="A801" s="2" t="s">
        <v>522</v>
      </c>
      <c r="B801" s="1">
        <v>11449</v>
      </c>
      <c r="C801" t="s">
        <v>513</v>
      </c>
      <c r="D801" t="s">
        <v>21</v>
      </c>
    </row>
    <row r="802" spans="1:4" x14ac:dyDescent="0.25">
      <c r="A802" s="2" t="s">
        <v>523</v>
      </c>
      <c r="B802" s="1">
        <v>11384</v>
      </c>
      <c r="C802" t="s">
        <v>513</v>
      </c>
      <c r="D802" t="s">
        <v>21</v>
      </c>
    </row>
    <row r="803" spans="1:4" x14ac:dyDescent="0.25">
      <c r="A803" s="2" t="s">
        <v>524</v>
      </c>
      <c r="B803" s="1">
        <v>11432</v>
      </c>
      <c r="C803" t="s">
        <v>513</v>
      </c>
      <c r="D803" t="s">
        <v>21</v>
      </c>
    </row>
    <row r="804" spans="1:4" x14ac:dyDescent="0.25">
      <c r="A804" s="2" t="s">
        <v>525</v>
      </c>
      <c r="B804" s="1">
        <v>11387</v>
      </c>
      <c r="C804" t="s">
        <v>513</v>
      </c>
      <c r="D804" t="s">
        <v>21</v>
      </c>
    </row>
    <row r="805" spans="1:4" x14ac:dyDescent="0.25">
      <c r="A805" s="2" t="s">
        <v>526</v>
      </c>
      <c r="B805" s="1">
        <v>11421</v>
      </c>
      <c r="C805" t="s">
        <v>513</v>
      </c>
      <c r="D805" t="s">
        <v>21</v>
      </c>
    </row>
    <row r="806" spans="1:4" x14ac:dyDescent="0.25">
      <c r="A806" s="2" t="s">
        <v>527</v>
      </c>
      <c r="B806" s="1">
        <v>11421</v>
      </c>
      <c r="C806" t="s">
        <v>513</v>
      </c>
      <c r="D806" t="s">
        <v>21</v>
      </c>
    </row>
    <row r="807" spans="1:4" x14ac:dyDescent="0.25">
      <c r="A807" s="2" t="s">
        <v>528</v>
      </c>
      <c r="B807" s="1">
        <v>11421</v>
      </c>
      <c r="C807" t="s">
        <v>513</v>
      </c>
      <c r="D807" t="s">
        <v>21</v>
      </c>
    </row>
    <row r="808" spans="1:4" x14ac:dyDescent="0.25">
      <c r="A808" s="2" t="s">
        <v>529</v>
      </c>
      <c r="B808" s="1">
        <v>11272</v>
      </c>
      <c r="C808" t="s">
        <v>513</v>
      </c>
      <c r="D808" t="s">
        <v>21</v>
      </c>
    </row>
    <row r="809" spans="1:4" x14ac:dyDescent="0.25">
      <c r="A809" s="2" t="s">
        <v>530</v>
      </c>
      <c r="B809" s="1">
        <v>11282</v>
      </c>
      <c r="C809" t="s">
        <v>513</v>
      </c>
      <c r="D809" t="s">
        <v>21</v>
      </c>
    </row>
    <row r="810" spans="1:4" x14ac:dyDescent="0.25">
      <c r="A810" s="2" t="s">
        <v>531</v>
      </c>
      <c r="B810" s="1">
        <v>11313</v>
      </c>
      <c r="C810" t="s">
        <v>513</v>
      </c>
      <c r="D810" t="s">
        <v>21</v>
      </c>
    </row>
    <row r="811" spans="1:4" x14ac:dyDescent="0.25">
      <c r="A811" s="2" t="s">
        <v>532</v>
      </c>
      <c r="B811" s="1">
        <v>11407</v>
      </c>
      <c r="C811" t="s">
        <v>513</v>
      </c>
      <c r="D811" t="s">
        <v>21</v>
      </c>
    </row>
    <row r="812" spans="1:4" x14ac:dyDescent="0.25">
      <c r="A812" s="2" t="s">
        <v>533</v>
      </c>
      <c r="B812" s="1">
        <v>11431</v>
      </c>
      <c r="C812" t="s">
        <v>513</v>
      </c>
      <c r="D812" t="s">
        <v>21</v>
      </c>
    </row>
    <row r="813" spans="1:4" x14ac:dyDescent="0.25">
      <c r="A813" s="2" t="s">
        <v>534</v>
      </c>
      <c r="B813" s="1">
        <v>11431</v>
      </c>
      <c r="C813" t="s">
        <v>513</v>
      </c>
      <c r="D813" t="s">
        <v>21</v>
      </c>
    </row>
    <row r="814" spans="1:4" x14ac:dyDescent="0.25">
      <c r="A814" s="2" t="s">
        <v>535</v>
      </c>
      <c r="B814" s="1">
        <v>11431</v>
      </c>
      <c r="C814" t="s">
        <v>513</v>
      </c>
      <c r="D814" t="s">
        <v>21</v>
      </c>
    </row>
    <row r="815" spans="1:4" x14ac:dyDescent="0.25">
      <c r="A815" s="2" t="s">
        <v>536</v>
      </c>
      <c r="B815" s="1">
        <v>11384</v>
      </c>
      <c r="C815" t="s">
        <v>513</v>
      </c>
      <c r="D815" t="s">
        <v>21</v>
      </c>
    </row>
    <row r="816" spans="1:4" x14ac:dyDescent="0.25">
      <c r="A816" s="2" t="s">
        <v>537</v>
      </c>
      <c r="B816" s="1">
        <v>11357</v>
      </c>
      <c r="C816" t="s">
        <v>513</v>
      </c>
      <c r="D816" t="s">
        <v>21</v>
      </c>
    </row>
    <row r="817" spans="1:4" x14ac:dyDescent="0.25">
      <c r="A817" s="2" t="s">
        <v>538</v>
      </c>
      <c r="B817" s="1">
        <v>11408</v>
      </c>
      <c r="C817" t="s">
        <v>513</v>
      </c>
      <c r="D817" t="s">
        <v>21</v>
      </c>
    </row>
    <row r="818" spans="1:4" x14ac:dyDescent="0.25">
      <c r="A818" s="2" t="s">
        <v>539</v>
      </c>
      <c r="B818" s="1">
        <v>11438</v>
      </c>
      <c r="C818" t="s">
        <v>513</v>
      </c>
      <c r="D818" t="s">
        <v>21</v>
      </c>
    </row>
    <row r="819" spans="1:4" x14ac:dyDescent="0.25">
      <c r="A819" s="2" t="s">
        <v>540</v>
      </c>
      <c r="B819" s="1">
        <v>11404</v>
      </c>
      <c r="C819" t="s">
        <v>513</v>
      </c>
      <c r="D819" t="s">
        <v>21</v>
      </c>
    </row>
    <row r="820" spans="1:4" x14ac:dyDescent="0.25">
      <c r="A820" s="2" t="s">
        <v>541</v>
      </c>
      <c r="B820" s="1">
        <v>11404</v>
      </c>
      <c r="C820" t="s">
        <v>513</v>
      </c>
      <c r="D820" t="s">
        <v>21</v>
      </c>
    </row>
    <row r="821" spans="1:4" x14ac:dyDescent="0.25">
      <c r="A821" s="2" t="s">
        <v>542</v>
      </c>
      <c r="B821" s="1">
        <v>11404</v>
      </c>
      <c r="C821" t="s">
        <v>513</v>
      </c>
      <c r="D821" t="s">
        <v>21</v>
      </c>
    </row>
    <row r="822" spans="1:4" x14ac:dyDescent="0.25">
      <c r="A822" s="2" t="s">
        <v>543</v>
      </c>
      <c r="B822" s="1">
        <v>11404</v>
      </c>
      <c r="C822" t="s">
        <v>513</v>
      </c>
      <c r="D822" t="s">
        <v>21</v>
      </c>
    </row>
    <row r="823" spans="1:4" x14ac:dyDescent="0.25">
      <c r="A823" s="2" t="s">
        <v>544</v>
      </c>
      <c r="B823" s="1">
        <v>11271</v>
      </c>
      <c r="C823" t="s">
        <v>545</v>
      </c>
      <c r="D823" t="s">
        <v>22</v>
      </c>
    </row>
    <row r="824" spans="1:4" x14ac:dyDescent="0.25">
      <c r="A824" s="2" t="s">
        <v>546</v>
      </c>
      <c r="B824" s="1">
        <v>11303</v>
      </c>
      <c r="C824" t="s">
        <v>545</v>
      </c>
      <c r="D824" t="s">
        <v>22</v>
      </c>
    </row>
    <row r="825" spans="1:4" x14ac:dyDescent="0.25">
      <c r="A825" s="2" t="s">
        <v>547</v>
      </c>
      <c r="B825" s="1">
        <v>11310</v>
      </c>
      <c r="C825" t="s">
        <v>545</v>
      </c>
      <c r="D825" t="s">
        <v>22</v>
      </c>
    </row>
    <row r="826" spans="1:4" x14ac:dyDescent="0.25">
      <c r="A826" s="2" t="s">
        <v>548</v>
      </c>
      <c r="B826" s="1">
        <v>11310</v>
      </c>
      <c r="C826" t="s">
        <v>545</v>
      </c>
      <c r="D826" t="s">
        <v>22</v>
      </c>
    </row>
    <row r="827" spans="1:4" x14ac:dyDescent="0.25">
      <c r="A827" s="2" t="s">
        <v>549</v>
      </c>
      <c r="B827" s="1">
        <v>11310</v>
      </c>
      <c r="C827" t="s">
        <v>545</v>
      </c>
      <c r="D827" t="s">
        <v>22</v>
      </c>
    </row>
    <row r="828" spans="1:4" x14ac:dyDescent="0.25">
      <c r="A828" s="2" t="s">
        <v>550</v>
      </c>
      <c r="B828" s="1">
        <v>11310</v>
      </c>
      <c r="C828" t="s">
        <v>545</v>
      </c>
      <c r="D828" t="s">
        <v>22</v>
      </c>
    </row>
    <row r="829" spans="1:4" x14ac:dyDescent="0.25">
      <c r="A829" s="2" t="s">
        <v>551</v>
      </c>
      <c r="B829" s="1">
        <v>11282</v>
      </c>
      <c r="C829" t="s">
        <v>545</v>
      </c>
      <c r="D829" t="s">
        <v>22</v>
      </c>
    </row>
    <row r="830" spans="1:4" x14ac:dyDescent="0.25">
      <c r="A830" s="2" t="s">
        <v>552</v>
      </c>
      <c r="B830" s="1">
        <v>11309</v>
      </c>
      <c r="C830" t="s">
        <v>545</v>
      </c>
      <c r="D830" t="s">
        <v>22</v>
      </c>
    </row>
    <row r="831" spans="1:4" x14ac:dyDescent="0.25">
      <c r="A831" s="2" t="s">
        <v>553</v>
      </c>
      <c r="B831" s="1">
        <v>11309</v>
      </c>
      <c r="C831" t="s">
        <v>545</v>
      </c>
      <c r="D831" t="s">
        <v>22</v>
      </c>
    </row>
    <row r="832" spans="1:4" x14ac:dyDescent="0.25">
      <c r="A832" s="2" t="s">
        <v>554</v>
      </c>
      <c r="B832" s="1">
        <v>11342</v>
      </c>
      <c r="C832" t="s">
        <v>545</v>
      </c>
      <c r="D832" t="s">
        <v>22</v>
      </c>
    </row>
    <row r="833" spans="1:4" x14ac:dyDescent="0.25">
      <c r="A833" s="2" t="s">
        <v>555</v>
      </c>
      <c r="B833" s="1">
        <v>11450</v>
      </c>
      <c r="C833" t="s">
        <v>545</v>
      </c>
      <c r="D833" t="s">
        <v>22</v>
      </c>
    </row>
    <row r="834" spans="1:4" x14ac:dyDescent="0.25">
      <c r="A834" s="2" t="s">
        <v>556</v>
      </c>
      <c r="B834" s="1">
        <v>11450</v>
      </c>
      <c r="C834" t="s">
        <v>545</v>
      </c>
      <c r="D834" t="s">
        <v>22</v>
      </c>
    </row>
    <row r="835" spans="1:4" x14ac:dyDescent="0.25">
      <c r="A835" s="2" t="s">
        <v>557</v>
      </c>
      <c r="B835" s="1">
        <v>11450</v>
      </c>
      <c r="C835" t="s">
        <v>545</v>
      </c>
      <c r="D835" t="s">
        <v>22</v>
      </c>
    </row>
    <row r="836" spans="1:4" x14ac:dyDescent="0.25">
      <c r="A836" s="2" t="s">
        <v>558</v>
      </c>
      <c r="B836" s="1">
        <v>11444</v>
      </c>
      <c r="C836" t="s">
        <v>545</v>
      </c>
      <c r="D836" t="s">
        <v>22</v>
      </c>
    </row>
    <row r="837" spans="1:4" x14ac:dyDescent="0.25">
      <c r="A837" s="2" t="s">
        <v>559</v>
      </c>
      <c r="B837" s="1">
        <v>11434</v>
      </c>
      <c r="C837" t="s">
        <v>545</v>
      </c>
      <c r="D837" t="s">
        <v>22</v>
      </c>
    </row>
    <row r="838" spans="1:4" x14ac:dyDescent="0.25">
      <c r="A838" s="2" t="s">
        <v>560</v>
      </c>
      <c r="B838" s="1">
        <v>11438</v>
      </c>
      <c r="C838" t="s">
        <v>545</v>
      </c>
      <c r="D838" t="s">
        <v>22</v>
      </c>
    </row>
    <row r="839" spans="1:4" x14ac:dyDescent="0.25">
      <c r="A839" s="2" t="s">
        <v>561</v>
      </c>
      <c r="B839" s="1">
        <v>11418</v>
      </c>
      <c r="C839" t="s">
        <v>545</v>
      </c>
      <c r="D839" t="s">
        <v>22</v>
      </c>
    </row>
    <row r="840" spans="1:4" x14ac:dyDescent="0.25">
      <c r="A840" s="2" t="s">
        <v>562</v>
      </c>
      <c r="B840" s="1">
        <v>11418</v>
      </c>
      <c r="C840" t="s">
        <v>545</v>
      </c>
      <c r="D840" t="s">
        <v>22</v>
      </c>
    </row>
    <row r="841" spans="1:4" x14ac:dyDescent="0.25">
      <c r="A841" s="2" t="s">
        <v>563</v>
      </c>
      <c r="B841" s="1">
        <v>11418</v>
      </c>
      <c r="C841" t="s">
        <v>545</v>
      </c>
      <c r="D841" t="s">
        <v>22</v>
      </c>
    </row>
    <row r="842" spans="1:4" x14ac:dyDescent="0.25">
      <c r="A842" s="2" t="s">
        <v>564</v>
      </c>
      <c r="B842" s="1">
        <v>11418</v>
      </c>
      <c r="C842" t="s">
        <v>545</v>
      </c>
      <c r="D842" t="s">
        <v>22</v>
      </c>
    </row>
    <row r="843" spans="1:4" x14ac:dyDescent="0.25">
      <c r="A843" s="2" t="s">
        <v>565</v>
      </c>
      <c r="B843" s="1">
        <v>11430</v>
      </c>
      <c r="C843" t="s">
        <v>545</v>
      </c>
      <c r="D843" t="s">
        <v>22</v>
      </c>
    </row>
    <row r="844" spans="1:4" x14ac:dyDescent="0.25">
      <c r="A844" s="2" t="s">
        <v>566</v>
      </c>
      <c r="B844" s="1">
        <v>11486</v>
      </c>
      <c r="C844" t="s">
        <v>545</v>
      </c>
      <c r="D844" t="s">
        <v>22</v>
      </c>
    </row>
    <row r="845" spans="1:4" x14ac:dyDescent="0.25">
      <c r="A845" s="2" t="s">
        <v>567</v>
      </c>
      <c r="B845" s="1">
        <v>11590</v>
      </c>
      <c r="C845" t="s">
        <v>545</v>
      </c>
      <c r="D845" t="s">
        <v>22</v>
      </c>
    </row>
    <row r="846" spans="1:4" x14ac:dyDescent="0.25">
      <c r="A846" s="2" t="s">
        <v>568</v>
      </c>
      <c r="B846" s="1">
        <v>11608</v>
      </c>
      <c r="C846" t="s">
        <v>545</v>
      </c>
      <c r="D846" t="s">
        <v>22</v>
      </c>
    </row>
    <row r="847" spans="1:4" x14ac:dyDescent="0.25">
      <c r="A847" s="2" t="s">
        <v>569</v>
      </c>
      <c r="B847" s="1">
        <v>11601</v>
      </c>
      <c r="C847" t="s">
        <v>545</v>
      </c>
      <c r="D847" t="s">
        <v>22</v>
      </c>
    </row>
    <row r="848" spans="1:4" x14ac:dyDescent="0.25">
      <c r="A848" s="2" t="s">
        <v>570</v>
      </c>
      <c r="B848" s="1">
        <v>11601</v>
      </c>
      <c r="C848" t="s">
        <v>545</v>
      </c>
      <c r="D848" t="s">
        <v>22</v>
      </c>
    </row>
    <row r="849" spans="1:4" x14ac:dyDescent="0.25">
      <c r="A849" s="2" t="s">
        <v>571</v>
      </c>
      <c r="B849" s="1">
        <v>11601</v>
      </c>
      <c r="C849" t="s">
        <v>545</v>
      </c>
      <c r="D849" t="s">
        <v>22</v>
      </c>
    </row>
    <row r="850" spans="1:4" x14ac:dyDescent="0.25">
      <c r="A850" s="2" t="s">
        <v>572</v>
      </c>
      <c r="B850" s="1">
        <v>11568</v>
      </c>
      <c r="C850" t="s">
        <v>545</v>
      </c>
      <c r="D850" t="s">
        <v>22</v>
      </c>
    </row>
    <row r="851" spans="1:4" x14ac:dyDescent="0.25">
      <c r="A851" s="2" t="s">
        <v>573</v>
      </c>
      <c r="B851" s="1">
        <v>11589</v>
      </c>
      <c r="C851" t="s">
        <v>545</v>
      </c>
      <c r="D851" t="s">
        <v>22</v>
      </c>
    </row>
    <row r="852" spans="1:4" x14ac:dyDescent="0.25">
      <c r="A852" s="2" t="s">
        <v>574</v>
      </c>
      <c r="B852" s="1">
        <v>11532</v>
      </c>
      <c r="C852" t="s">
        <v>545</v>
      </c>
      <c r="D852" t="s">
        <v>22</v>
      </c>
    </row>
    <row r="853" spans="1:4" x14ac:dyDescent="0.25">
      <c r="A853" s="2" t="s">
        <v>575</v>
      </c>
      <c r="B853" s="1">
        <v>11532</v>
      </c>
      <c r="C853" t="s">
        <v>576</v>
      </c>
      <c r="D853" t="s">
        <v>22</v>
      </c>
    </row>
    <row r="854" spans="1:4" x14ac:dyDescent="0.25">
      <c r="A854" s="2" t="s">
        <v>577</v>
      </c>
      <c r="B854" s="1">
        <v>11537</v>
      </c>
      <c r="C854" t="s">
        <v>576</v>
      </c>
      <c r="D854" t="s">
        <v>22</v>
      </c>
    </row>
    <row r="855" spans="1:4" x14ac:dyDescent="0.25">
      <c r="A855" s="2" t="s">
        <v>578</v>
      </c>
      <c r="B855" s="1">
        <v>11537</v>
      </c>
      <c r="C855" t="s">
        <v>576</v>
      </c>
      <c r="D855" t="s">
        <v>22</v>
      </c>
    </row>
    <row r="856" spans="1:4" x14ac:dyDescent="0.25">
      <c r="A856" s="2" t="s">
        <v>579</v>
      </c>
      <c r="B856" s="1">
        <v>11537</v>
      </c>
      <c r="C856" t="s">
        <v>576</v>
      </c>
      <c r="D856" t="s">
        <v>22</v>
      </c>
    </row>
    <row r="857" spans="1:4" x14ac:dyDescent="0.25">
      <c r="A857" s="2" t="s">
        <v>580</v>
      </c>
      <c r="B857" s="1">
        <v>11511</v>
      </c>
      <c r="C857" t="s">
        <v>576</v>
      </c>
      <c r="D857" t="s">
        <v>22</v>
      </c>
    </row>
    <row r="858" spans="1:4" x14ac:dyDescent="0.25">
      <c r="A858" s="2" t="s">
        <v>581</v>
      </c>
      <c r="B858" s="1">
        <v>11511</v>
      </c>
      <c r="C858" t="s">
        <v>576</v>
      </c>
      <c r="D858" t="s">
        <v>22</v>
      </c>
    </row>
    <row r="859" spans="1:4" x14ac:dyDescent="0.25">
      <c r="A859" s="2" t="s">
        <v>582</v>
      </c>
      <c r="B859" s="1">
        <v>11527</v>
      </c>
      <c r="C859" t="s">
        <v>576</v>
      </c>
      <c r="D859" t="s">
        <v>22</v>
      </c>
    </row>
    <row r="860" spans="1:4" x14ac:dyDescent="0.25">
      <c r="A860" s="2" t="s">
        <v>583</v>
      </c>
      <c r="B860" s="1">
        <v>11624</v>
      </c>
      <c r="C860" t="s">
        <v>576</v>
      </c>
      <c r="D860" t="s">
        <v>22</v>
      </c>
    </row>
    <row r="861" spans="1:4" x14ac:dyDescent="0.25">
      <c r="A861" s="2" t="s">
        <v>584</v>
      </c>
      <c r="B861" s="1">
        <v>11563</v>
      </c>
      <c r="C861" t="s">
        <v>576</v>
      </c>
      <c r="D861" t="s">
        <v>22</v>
      </c>
    </row>
    <row r="862" spans="1:4" x14ac:dyDescent="0.25">
      <c r="A862" s="2" t="s">
        <v>585</v>
      </c>
      <c r="B862" s="1">
        <v>11563</v>
      </c>
      <c r="C862" t="s">
        <v>576</v>
      </c>
      <c r="D862" t="s">
        <v>22</v>
      </c>
    </row>
    <row r="863" spans="1:4" x14ac:dyDescent="0.25">
      <c r="A863" s="2" t="s">
        <v>586</v>
      </c>
      <c r="B863" s="1">
        <v>11563</v>
      </c>
      <c r="C863" t="s">
        <v>576</v>
      </c>
      <c r="D863" t="s">
        <v>22</v>
      </c>
    </row>
    <row r="864" spans="1:4" x14ac:dyDescent="0.25">
      <c r="A864" s="2" t="s">
        <v>587</v>
      </c>
      <c r="B864" s="1">
        <v>11536</v>
      </c>
      <c r="C864" t="s">
        <v>576</v>
      </c>
      <c r="D864" t="s">
        <v>22</v>
      </c>
    </row>
    <row r="865" spans="1:4" x14ac:dyDescent="0.25">
      <c r="A865" s="2" t="s">
        <v>588</v>
      </c>
      <c r="B865" s="1">
        <v>11525</v>
      </c>
      <c r="C865" t="s">
        <v>576</v>
      </c>
      <c r="D865" t="s">
        <v>22</v>
      </c>
    </row>
    <row r="866" spans="1:4" x14ac:dyDescent="0.25">
      <c r="A866" s="2" t="s">
        <v>589</v>
      </c>
      <c r="B866" s="1">
        <v>11487</v>
      </c>
      <c r="C866" t="s">
        <v>576</v>
      </c>
      <c r="D866" t="s">
        <v>22</v>
      </c>
    </row>
    <row r="867" spans="1:4" x14ac:dyDescent="0.25">
      <c r="A867" s="2" t="s">
        <v>590</v>
      </c>
      <c r="B867" s="1">
        <v>11487</v>
      </c>
      <c r="C867" t="s">
        <v>576</v>
      </c>
      <c r="D867" t="s">
        <v>22</v>
      </c>
    </row>
    <row r="868" spans="1:4" x14ac:dyDescent="0.25">
      <c r="A868" s="2" t="s">
        <v>591</v>
      </c>
      <c r="B868" s="1">
        <v>11415</v>
      </c>
      <c r="C868" t="s">
        <v>576</v>
      </c>
      <c r="D868" t="s">
        <v>22</v>
      </c>
    </row>
    <row r="869" spans="1:4" x14ac:dyDescent="0.25">
      <c r="A869" s="2" t="s">
        <v>592</v>
      </c>
      <c r="B869" s="1">
        <v>11415</v>
      </c>
      <c r="C869" t="s">
        <v>576</v>
      </c>
      <c r="D869" t="s">
        <v>22</v>
      </c>
    </row>
    <row r="870" spans="1:4" x14ac:dyDescent="0.25">
      <c r="A870" s="2" t="s">
        <v>593</v>
      </c>
      <c r="B870" s="1">
        <v>11415</v>
      </c>
      <c r="C870" t="s">
        <v>576</v>
      </c>
      <c r="D870" t="s">
        <v>22</v>
      </c>
    </row>
    <row r="871" spans="1:4" x14ac:dyDescent="0.25">
      <c r="A871" s="2" t="s">
        <v>594</v>
      </c>
      <c r="B871" s="1">
        <v>11351</v>
      </c>
      <c r="C871" t="s">
        <v>576</v>
      </c>
      <c r="D871" t="s">
        <v>22</v>
      </c>
    </row>
    <row r="872" spans="1:4" x14ac:dyDescent="0.25">
      <c r="A872" s="2" t="s">
        <v>595</v>
      </c>
      <c r="B872" s="1">
        <v>11441</v>
      </c>
      <c r="C872" t="s">
        <v>576</v>
      </c>
      <c r="D872" t="s">
        <v>22</v>
      </c>
    </row>
    <row r="873" spans="1:4" x14ac:dyDescent="0.25">
      <c r="A873" s="2" t="s">
        <v>596</v>
      </c>
      <c r="B873" s="1">
        <v>11507</v>
      </c>
      <c r="C873" t="s">
        <v>576</v>
      </c>
      <c r="D873" t="s">
        <v>22</v>
      </c>
    </row>
    <row r="874" spans="1:4" x14ac:dyDescent="0.25">
      <c r="A874" s="2" t="s">
        <v>597</v>
      </c>
      <c r="B874" s="1">
        <v>11515</v>
      </c>
      <c r="C874" t="s">
        <v>576</v>
      </c>
      <c r="D874" t="s">
        <v>22</v>
      </c>
    </row>
    <row r="875" spans="1:4" x14ac:dyDescent="0.25">
      <c r="A875" s="2" t="s">
        <v>598</v>
      </c>
      <c r="B875" s="1">
        <v>11560</v>
      </c>
      <c r="C875" t="s">
        <v>576</v>
      </c>
      <c r="D875" t="s">
        <v>22</v>
      </c>
    </row>
    <row r="876" spans="1:4" x14ac:dyDescent="0.25">
      <c r="A876" s="2" t="s">
        <v>599</v>
      </c>
      <c r="B876" s="1">
        <v>11560</v>
      </c>
      <c r="C876" t="s">
        <v>576</v>
      </c>
      <c r="D876" t="s">
        <v>22</v>
      </c>
    </row>
    <row r="877" spans="1:4" x14ac:dyDescent="0.25">
      <c r="A877" s="2" t="s">
        <v>600</v>
      </c>
      <c r="B877" s="1">
        <v>11560</v>
      </c>
      <c r="C877" t="s">
        <v>576</v>
      </c>
      <c r="D877" t="s">
        <v>22</v>
      </c>
    </row>
    <row r="878" spans="1:4" x14ac:dyDescent="0.25">
      <c r="A878" s="2" t="s">
        <v>601</v>
      </c>
      <c r="B878" s="1">
        <v>11633</v>
      </c>
      <c r="C878" t="s">
        <v>576</v>
      </c>
      <c r="D878" t="s">
        <v>22</v>
      </c>
    </row>
    <row r="879" spans="1:4" x14ac:dyDescent="0.25">
      <c r="A879" s="2" t="s">
        <v>602</v>
      </c>
      <c r="B879" s="1">
        <v>11633</v>
      </c>
      <c r="C879" t="s">
        <v>576</v>
      </c>
      <c r="D879" t="s">
        <v>22</v>
      </c>
    </row>
    <row r="880" spans="1:4" x14ac:dyDescent="0.25">
      <c r="A880" s="2" t="s">
        <v>603</v>
      </c>
      <c r="B880" s="1">
        <v>11613</v>
      </c>
      <c r="C880" t="s">
        <v>576</v>
      </c>
      <c r="D880" t="s">
        <v>22</v>
      </c>
    </row>
    <row r="881" spans="1:4" x14ac:dyDescent="0.25">
      <c r="A881" s="2" t="s">
        <v>604</v>
      </c>
      <c r="B881" s="1">
        <v>11613</v>
      </c>
      <c r="C881" t="s">
        <v>576</v>
      </c>
      <c r="D881" t="s">
        <v>22</v>
      </c>
    </row>
    <row r="882" spans="1:4" x14ac:dyDescent="0.25">
      <c r="A882" s="2" t="s">
        <v>605</v>
      </c>
      <c r="B882" s="1">
        <v>11611</v>
      </c>
      <c r="C882" t="s">
        <v>576</v>
      </c>
      <c r="D882" t="s">
        <v>22</v>
      </c>
    </row>
    <row r="883" spans="1:4" x14ac:dyDescent="0.25">
      <c r="A883" s="2" t="s">
        <v>606</v>
      </c>
      <c r="B883" s="1">
        <v>11611</v>
      </c>
      <c r="C883" t="s">
        <v>576</v>
      </c>
      <c r="D883" t="s">
        <v>22</v>
      </c>
    </row>
    <row r="884" spans="1:4" x14ac:dyDescent="0.25">
      <c r="A884" s="2" t="s">
        <v>607</v>
      </c>
      <c r="B884" s="1">
        <v>11611</v>
      </c>
      <c r="C884" t="s">
        <v>608</v>
      </c>
      <c r="D884" t="s">
        <v>22</v>
      </c>
    </row>
    <row r="885" spans="1:4" x14ac:dyDescent="0.25">
      <c r="A885" s="2" t="s">
        <v>609</v>
      </c>
      <c r="B885" s="1">
        <v>11740</v>
      </c>
      <c r="C885" t="s">
        <v>608</v>
      </c>
      <c r="D885" t="s">
        <v>22</v>
      </c>
    </row>
    <row r="886" spans="1:4" x14ac:dyDescent="0.25">
      <c r="A886" s="2" t="s">
        <v>610</v>
      </c>
      <c r="B886" s="1">
        <v>11806</v>
      </c>
      <c r="C886" t="s">
        <v>608</v>
      </c>
      <c r="D886" t="s">
        <v>22</v>
      </c>
    </row>
    <row r="887" spans="1:4" x14ac:dyDescent="0.25">
      <c r="A887" s="2" t="s">
        <v>611</v>
      </c>
      <c r="B887" s="1">
        <v>11810</v>
      </c>
      <c r="C887" t="s">
        <v>608</v>
      </c>
      <c r="D887" t="s">
        <v>22</v>
      </c>
    </row>
    <row r="888" spans="1:4" x14ac:dyDescent="0.25">
      <c r="A888" s="2" t="s">
        <v>612</v>
      </c>
      <c r="B888" s="1">
        <v>11874</v>
      </c>
      <c r="C888" t="s">
        <v>608</v>
      </c>
      <c r="D888" t="s">
        <v>22</v>
      </c>
    </row>
    <row r="889" spans="1:4" x14ac:dyDescent="0.25">
      <c r="A889" s="2" t="s">
        <v>613</v>
      </c>
      <c r="B889" s="1">
        <v>11823</v>
      </c>
      <c r="C889" t="s">
        <v>608</v>
      </c>
      <c r="D889" t="s">
        <v>22</v>
      </c>
    </row>
    <row r="890" spans="1:4" x14ac:dyDescent="0.25">
      <c r="A890" s="2" t="s">
        <v>614</v>
      </c>
      <c r="B890" s="1">
        <v>11823</v>
      </c>
      <c r="C890" t="s">
        <v>608</v>
      </c>
      <c r="D890" t="s">
        <v>22</v>
      </c>
    </row>
    <row r="891" spans="1:4" x14ac:dyDescent="0.25">
      <c r="A891" s="2" t="s">
        <v>615</v>
      </c>
      <c r="B891" s="1">
        <v>11823</v>
      </c>
      <c r="C891" t="s">
        <v>608</v>
      </c>
      <c r="D891" t="s">
        <v>22</v>
      </c>
    </row>
    <row r="892" spans="1:4" x14ac:dyDescent="0.25">
      <c r="A892" s="2" t="s">
        <v>616</v>
      </c>
      <c r="B892" s="1">
        <v>11790</v>
      </c>
      <c r="C892" t="s">
        <v>608</v>
      </c>
      <c r="D892" t="s">
        <v>22</v>
      </c>
    </row>
    <row r="893" spans="1:4" x14ac:dyDescent="0.25">
      <c r="A893" s="2" t="s">
        <v>617</v>
      </c>
      <c r="B893" s="1">
        <v>11806</v>
      </c>
      <c r="C893" t="s">
        <v>608</v>
      </c>
      <c r="D893" t="s">
        <v>22</v>
      </c>
    </row>
    <row r="894" spans="1:4" x14ac:dyDescent="0.25">
      <c r="A894" s="2" t="s">
        <v>618</v>
      </c>
      <c r="B894" s="1">
        <v>11803</v>
      </c>
      <c r="C894" t="s">
        <v>608</v>
      </c>
      <c r="D894" t="s">
        <v>22</v>
      </c>
    </row>
    <row r="895" spans="1:4" x14ac:dyDescent="0.25">
      <c r="A895" s="2" t="s">
        <v>619</v>
      </c>
      <c r="B895" s="1">
        <v>11813</v>
      </c>
      <c r="C895" t="s">
        <v>608</v>
      </c>
      <c r="D895" t="s">
        <v>22</v>
      </c>
    </row>
    <row r="896" spans="1:4" x14ac:dyDescent="0.25">
      <c r="A896" s="2" t="s">
        <v>620</v>
      </c>
      <c r="B896" s="1">
        <v>11781</v>
      </c>
      <c r="C896" t="s">
        <v>608</v>
      </c>
      <c r="D896" t="s">
        <v>22</v>
      </c>
    </row>
    <row r="897" spans="1:4" x14ac:dyDescent="0.25">
      <c r="A897" s="2" t="s">
        <v>621</v>
      </c>
      <c r="B897" s="1">
        <v>11781</v>
      </c>
      <c r="C897" t="s">
        <v>608</v>
      </c>
      <c r="D897" t="s">
        <v>22</v>
      </c>
    </row>
    <row r="898" spans="1:4" x14ac:dyDescent="0.25">
      <c r="A898" s="2" t="s">
        <v>622</v>
      </c>
      <c r="B898" s="1">
        <v>11781</v>
      </c>
      <c r="C898" t="s">
        <v>608</v>
      </c>
      <c r="D898" t="s">
        <v>22</v>
      </c>
    </row>
    <row r="899" spans="1:4" x14ac:dyDescent="0.25">
      <c r="A899" s="2" t="s">
        <v>623</v>
      </c>
      <c r="B899" s="1">
        <v>11814</v>
      </c>
      <c r="C899" t="s">
        <v>608</v>
      </c>
      <c r="D899" t="s">
        <v>22</v>
      </c>
    </row>
    <row r="900" spans="1:4" x14ac:dyDescent="0.25">
      <c r="A900" s="2" t="s">
        <v>624</v>
      </c>
      <c r="B900" s="1">
        <v>11863</v>
      </c>
      <c r="C900" t="s">
        <v>608</v>
      </c>
      <c r="D900" t="s">
        <v>22</v>
      </c>
    </row>
    <row r="901" spans="1:4" x14ac:dyDescent="0.25">
      <c r="A901" s="2" t="s">
        <v>625</v>
      </c>
      <c r="B901" s="1">
        <v>11978</v>
      </c>
      <c r="C901" t="s">
        <v>608</v>
      </c>
      <c r="D901" t="s">
        <v>22</v>
      </c>
    </row>
    <row r="902" spans="1:4" x14ac:dyDescent="0.25">
      <c r="A902" s="2" t="s">
        <v>626</v>
      </c>
      <c r="B902" s="1">
        <v>11916</v>
      </c>
      <c r="C902" t="s">
        <v>608</v>
      </c>
      <c r="D902" t="s">
        <v>22</v>
      </c>
    </row>
    <row r="903" spans="1:4" x14ac:dyDescent="0.25">
      <c r="A903" s="2" t="s">
        <v>627</v>
      </c>
      <c r="B903" s="1">
        <v>11967</v>
      </c>
      <c r="C903" t="s">
        <v>608</v>
      </c>
      <c r="D903" t="s">
        <v>22</v>
      </c>
    </row>
    <row r="904" spans="1:4" x14ac:dyDescent="0.25">
      <c r="A904" s="2" t="s">
        <v>628</v>
      </c>
      <c r="B904" s="1">
        <v>11967</v>
      </c>
      <c r="C904" t="s">
        <v>608</v>
      </c>
      <c r="D904" t="s">
        <v>22</v>
      </c>
    </row>
    <row r="905" spans="1:4" x14ac:dyDescent="0.25">
      <c r="A905" s="2" t="s">
        <v>629</v>
      </c>
      <c r="B905" s="1">
        <v>11967</v>
      </c>
      <c r="C905" t="s">
        <v>608</v>
      </c>
      <c r="D905" t="s">
        <v>22</v>
      </c>
    </row>
    <row r="906" spans="1:4" x14ac:dyDescent="0.25">
      <c r="A906" s="2" t="s">
        <v>630</v>
      </c>
      <c r="B906" s="1">
        <v>11971</v>
      </c>
      <c r="C906" t="s">
        <v>608</v>
      </c>
      <c r="D906" t="s">
        <v>22</v>
      </c>
    </row>
    <row r="907" spans="1:4" x14ac:dyDescent="0.25">
      <c r="A907" s="2" t="s">
        <v>631</v>
      </c>
      <c r="B907" s="1">
        <v>12000</v>
      </c>
      <c r="C907" t="s">
        <v>608</v>
      </c>
      <c r="D907" t="s">
        <v>22</v>
      </c>
    </row>
    <row r="908" spans="1:4" x14ac:dyDescent="0.25">
      <c r="A908" s="2" t="s">
        <v>632</v>
      </c>
      <c r="B908" s="1">
        <v>12027</v>
      </c>
      <c r="C908" t="s">
        <v>608</v>
      </c>
      <c r="D908" t="s">
        <v>22</v>
      </c>
    </row>
    <row r="909" spans="1:4" x14ac:dyDescent="0.25">
      <c r="A909" s="2" t="s">
        <v>633</v>
      </c>
      <c r="B909" s="1">
        <v>12091</v>
      </c>
      <c r="C909" t="s">
        <v>608</v>
      </c>
      <c r="D909" t="s">
        <v>22</v>
      </c>
    </row>
    <row r="910" spans="1:4" x14ac:dyDescent="0.25">
      <c r="A910" s="2" t="s">
        <v>634</v>
      </c>
      <c r="B910" s="1">
        <v>12103</v>
      </c>
      <c r="C910" t="s">
        <v>608</v>
      </c>
      <c r="D910" t="s">
        <v>22</v>
      </c>
    </row>
    <row r="911" spans="1:4" x14ac:dyDescent="0.25">
      <c r="A911" s="2" t="s">
        <v>635</v>
      </c>
      <c r="B911" s="1">
        <v>12103</v>
      </c>
      <c r="C911" t="s">
        <v>608</v>
      </c>
      <c r="D911" t="s">
        <v>22</v>
      </c>
    </row>
    <row r="912" spans="1:4" x14ac:dyDescent="0.25">
      <c r="A912" s="2" t="s">
        <v>636</v>
      </c>
      <c r="B912" s="1">
        <v>12103</v>
      </c>
      <c r="C912" t="s">
        <v>608</v>
      </c>
      <c r="D912" t="s">
        <v>22</v>
      </c>
    </row>
    <row r="913" spans="1:4" x14ac:dyDescent="0.25">
      <c r="A913" s="2" t="s">
        <v>637</v>
      </c>
      <c r="B913" s="1">
        <v>11969</v>
      </c>
      <c r="C913" t="s">
        <v>608</v>
      </c>
      <c r="D913" t="s">
        <v>22</v>
      </c>
    </row>
    <row r="914" spans="1:4" x14ac:dyDescent="0.25">
      <c r="A914" s="2" t="s">
        <v>638</v>
      </c>
      <c r="B914" s="1">
        <v>11798</v>
      </c>
      <c r="C914" t="s">
        <v>639</v>
      </c>
      <c r="D914" t="s">
        <v>23</v>
      </c>
    </row>
    <row r="915" spans="1:4" x14ac:dyDescent="0.25">
      <c r="A915" s="2" t="s">
        <v>640</v>
      </c>
      <c r="B915" s="1">
        <v>11854</v>
      </c>
      <c r="C915" t="s">
        <v>639</v>
      </c>
      <c r="D915" t="s">
        <v>23</v>
      </c>
    </row>
    <row r="916" spans="1:4" x14ac:dyDescent="0.25">
      <c r="A916" s="2" t="s">
        <v>641</v>
      </c>
      <c r="B916" s="1">
        <v>11963</v>
      </c>
      <c r="C916" t="s">
        <v>639</v>
      </c>
      <c r="D916" t="s">
        <v>23</v>
      </c>
    </row>
    <row r="917" spans="1:4" x14ac:dyDescent="0.25">
      <c r="A917" s="2" t="s">
        <v>642</v>
      </c>
      <c r="B917" s="1">
        <v>11887</v>
      </c>
      <c r="C917" t="s">
        <v>639</v>
      </c>
      <c r="D917" t="s">
        <v>23</v>
      </c>
    </row>
    <row r="918" spans="1:4" x14ac:dyDescent="0.25">
      <c r="A918" s="2" t="s">
        <v>643</v>
      </c>
      <c r="B918" s="1">
        <v>11887</v>
      </c>
      <c r="C918" t="s">
        <v>639</v>
      </c>
      <c r="D918" t="s">
        <v>23</v>
      </c>
    </row>
    <row r="919" spans="1:4" x14ac:dyDescent="0.25">
      <c r="A919" s="2" t="s">
        <v>644</v>
      </c>
      <c r="B919" s="1">
        <v>11887</v>
      </c>
      <c r="C919" t="s">
        <v>639</v>
      </c>
      <c r="D919" t="s">
        <v>23</v>
      </c>
    </row>
    <row r="920" spans="1:4" x14ac:dyDescent="0.25">
      <c r="A920" s="2" t="s">
        <v>645</v>
      </c>
      <c r="B920" s="1">
        <v>11787</v>
      </c>
      <c r="C920" t="s">
        <v>639</v>
      </c>
      <c r="D920" t="s">
        <v>23</v>
      </c>
    </row>
    <row r="921" spans="1:4" x14ac:dyDescent="0.25">
      <c r="A921" s="2" t="s">
        <v>646</v>
      </c>
      <c r="B921" s="1">
        <v>11695</v>
      </c>
      <c r="C921" t="s">
        <v>639</v>
      </c>
      <c r="D921" t="s">
        <v>23</v>
      </c>
    </row>
    <row r="922" spans="1:4" x14ac:dyDescent="0.25">
      <c r="A922" s="2" t="s">
        <v>647</v>
      </c>
      <c r="B922" s="1">
        <v>11695</v>
      </c>
      <c r="C922" t="s">
        <v>639</v>
      </c>
      <c r="D922" t="s">
        <v>23</v>
      </c>
    </row>
    <row r="923" spans="1:4" x14ac:dyDescent="0.25">
      <c r="A923" s="2" t="s">
        <v>648</v>
      </c>
      <c r="B923" s="1">
        <v>11549</v>
      </c>
      <c r="C923" t="s">
        <v>639</v>
      </c>
      <c r="D923" t="s">
        <v>23</v>
      </c>
    </row>
    <row r="924" spans="1:4" x14ac:dyDescent="0.25">
      <c r="A924" s="2" t="s">
        <v>649</v>
      </c>
      <c r="B924" s="1">
        <v>11627</v>
      </c>
      <c r="C924" t="s">
        <v>639</v>
      </c>
      <c r="D924" t="s">
        <v>23</v>
      </c>
    </row>
    <row r="925" spans="1:4" x14ac:dyDescent="0.25">
      <c r="A925" s="2" t="s">
        <v>650</v>
      </c>
      <c r="B925" s="1">
        <v>11627</v>
      </c>
      <c r="C925" t="s">
        <v>639</v>
      </c>
      <c r="D925" t="s">
        <v>23</v>
      </c>
    </row>
    <row r="926" spans="1:4" x14ac:dyDescent="0.25">
      <c r="A926" s="2" t="s">
        <v>651</v>
      </c>
      <c r="B926" s="1">
        <v>11627</v>
      </c>
      <c r="C926" t="s">
        <v>639</v>
      </c>
      <c r="D926" t="s">
        <v>23</v>
      </c>
    </row>
    <row r="927" spans="1:4" x14ac:dyDescent="0.25">
      <c r="A927" s="2" t="s">
        <v>652</v>
      </c>
      <c r="B927" s="1">
        <v>11627</v>
      </c>
      <c r="C927" t="s">
        <v>639</v>
      </c>
      <c r="D927" t="s">
        <v>23</v>
      </c>
    </row>
    <row r="928" spans="1:4" x14ac:dyDescent="0.25">
      <c r="A928" s="2" t="s">
        <v>653</v>
      </c>
      <c r="B928" s="1">
        <v>11709</v>
      </c>
      <c r="C928" t="s">
        <v>639</v>
      </c>
      <c r="D928" t="s">
        <v>23</v>
      </c>
    </row>
    <row r="929" spans="1:4" x14ac:dyDescent="0.25">
      <c r="A929" s="2" t="s">
        <v>654</v>
      </c>
      <c r="B929" s="1">
        <v>11805</v>
      </c>
      <c r="C929" t="s">
        <v>639</v>
      </c>
      <c r="D929" t="s">
        <v>23</v>
      </c>
    </row>
    <row r="930" spans="1:4" x14ac:dyDescent="0.25">
      <c r="A930" s="2" t="s">
        <v>655</v>
      </c>
      <c r="B930" s="1">
        <v>11668</v>
      </c>
      <c r="C930" t="s">
        <v>639</v>
      </c>
      <c r="D930" t="s">
        <v>23</v>
      </c>
    </row>
    <row r="931" spans="1:4" x14ac:dyDescent="0.25">
      <c r="A931" s="2" t="s">
        <v>656</v>
      </c>
      <c r="B931" s="1">
        <v>11706</v>
      </c>
      <c r="C931" t="s">
        <v>639</v>
      </c>
      <c r="D931" t="s">
        <v>23</v>
      </c>
    </row>
    <row r="932" spans="1:4" x14ac:dyDescent="0.25">
      <c r="A932" s="2" t="s">
        <v>657</v>
      </c>
      <c r="B932" s="1">
        <v>11706</v>
      </c>
      <c r="C932" t="s">
        <v>639</v>
      </c>
      <c r="D932" t="s">
        <v>23</v>
      </c>
    </row>
    <row r="933" spans="1:4" x14ac:dyDescent="0.25">
      <c r="A933" s="2" t="s">
        <v>658</v>
      </c>
      <c r="B933" s="1">
        <v>11706</v>
      </c>
      <c r="C933" t="s">
        <v>639</v>
      </c>
      <c r="D933" t="s">
        <v>23</v>
      </c>
    </row>
    <row r="934" spans="1:4" x14ac:dyDescent="0.25">
      <c r="A934" s="2" t="s">
        <v>659</v>
      </c>
      <c r="B934" s="1">
        <v>11577</v>
      </c>
      <c r="C934" t="s">
        <v>639</v>
      </c>
      <c r="D934" t="s">
        <v>23</v>
      </c>
    </row>
    <row r="935" spans="1:4" x14ac:dyDescent="0.25">
      <c r="A935" s="2" t="s">
        <v>660</v>
      </c>
      <c r="B935" s="1">
        <v>11531</v>
      </c>
      <c r="C935" t="s">
        <v>639</v>
      </c>
      <c r="D935" t="s">
        <v>23</v>
      </c>
    </row>
    <row r="936" spans="1:4" x14ac:dyDescent="0.25">
      <c r="A936" s="2" t="s">
        <v>661</v>
      </c>
      <c r="B936" s="1">
        <v>11498</v>
      </c>
      <c r="C936" t="s">
        <v>639</v>
      </c>
      <c r="D936" t="s">
        <v>23</v>
      </c>
    </row>
    <row r="937" spans="1:4" x14ac:dyDescent="0.25">
      <c r="A937" s="2" t="s">
        <v>662</v>
      </c>
      <c r="B937" s="1">
        <v>11531</v>
      </c>
      <c r="C937" t="s">
        <v>639</v>
      </c>
      <c r="D937" t="s">
        <v>23</v>
      </c>
    </row>
    <row r="938" spans="1:4" x14ac:dyDescent="0.25">
      <c r="A938" s="2" t="s">
        <v>663</v>
      </c>
      <c r="B938" s="1">
        <v>11531</v>
      </c>
      <c r="C938" t="s">
        <v>639</v>
      </c>
      <c r="D938" t="s">
        <v>23</v>
      </c>
    </row>
    <row r="939" spans="1:4" x14ac:dyDescent="0.25">
      <c r="A939" s="2" t="s">
        <v>664</v>
      </c>
      <c r="B939" s="1">
        <v>11531</v>
      </c>
      <c r="C939" t="s">
        <v>639</v>
      </c>
      <c r="D939" t="s">
        <v>23</v>
      </c>
    </row>
    <row r="940" spans="1:4" x14ac:dyDescent="0.25">
      <c r="A940" s="2" t="s">
        <v>665</v>
      </c>
      <c r="B940" s="1">
        <v>11531</v>
      </c>
      <c r="C940" t="s">
        <v>639</v>
      </c>
      <c r="D940" t="s">
        <v>23</v>
      </c>
    </row>
    <row r="941" spans="1:4" x14ac:dyDescent="0.25">
      <c r="A941" s="2" t="s">
        <v>666</v>
      </c>
      <c r="B941" s="1">
        <v>11531</v>
      </c>
      <c r="C941" t="s">
        <v>639</v>
      </c>
      <c r="D941" t="s">
        <v>23</v>
      </c>
    </row>
    <row r="942" spans="1:4" x14ac:dyDescent="0.25">
      <c r="A942" s="2" t="s">
        <v>667</v>
      </c>
      <c r="B942" s="1">
        <v>11531</v>
      </c>
      <c r="C942" t="s">
        <v>639</v>
      </c>
      <c r="D942" t="s">
        <v>23</v>
      </c>
    </row>
    <row r="943" spans="1:4" x14ac:dyDescent="0.25">
      <c r="A943" s="2" t="s">
        <v>668</v>
      </c>
      <c r="B943" s="1">
        <v>11531</v>
      </c>
      <c r="C943" t="s">
        <v>639</v>
      </c>
      <c r="D943" t="s">
        <v>23</v>
      </c>
    </row>
    <row r="944" spans="1:4" x14ac:dyDescent="0.25">
      <c r="A944" s="2" t="s">
        <v>669</v>
      </c>
      <c r="B944" s="1">
        <v>11531</v>
      </c>
      <c r="C944" t="s">
        <v>639</v>
      </c>
      <c r="D944" t="s">
        <v>23</v>
      </c>
    </row>
    <row r="945" spans="1:4" x14ac:dyDescent="0.25">
      <c r="A945" s="2" t="s">
        <v>670</v>
      </c>
      <c r="B945" s="1">
        <v>11531</v>
      </c>
      <c r="C945" t="s">
        <v>671</v>
      </c>
      <c r="D945" t="s">
        <v>23</v>
      </c>
    </row>
    <row r="946" spans="1:4" x14ac:dyDescent="0.25">
      <c r="A946" s="2" t="s">
        <v>672</v>
      </c>
      <c r="B946" s="1">
        <v>11531</v>
      </c>
      <c r="C946" t="s">
        <v>671</v>
      </c>
      <c r="D946" t="s">
        <v>23</v>
      </c>
    </row>
    <row r="947" spans="1:4" x14ac:dyDescent="0.25">
      <c r="A947" s="2" t="s">
        <v>673</v>
      </c>
      <c r="B947" s="1">
        <v>11531</v>
      </c>
      <c r="C947" t="s">
        <v>671</v>
      </c>
      <c r="D947" t="s">
        <v>23</v>
      </c>
    </row>
    <row r="948" spans="1:4" x14ac:dyDescent="0.25">
      <c r="A948" s="2" t="s">
        <v>674</v>
      </c>
      <c r="B948" s="1">
        <v>11747</v>
      </c>
      <c r="C948" t="s">
        <v>671</v>
      </c>
      <c r="D948" t="s">
        <v>23</v>
      </c>
    </row>
    <row r="949" spans="1:4" x14ac:dyDescent="0.25">
      <c r="A949" s="2" t="s">
        <v>675</v>
      </c>
      <c r="B949" s="1">
        <v>11733</v>
      </c>
      <c r="C949" t="s">
        <v>671</v>
      </c>
      <c r="D949" t="s">
        <v>23</v>
      </c>
    </row>
    <row r="950" spans="1:4" x14ac:dyDescent="0.25">
      <c r="A950" s="2" t="s">
        <v>676</v>
      </c>
      <c r="B950" s="1">
        <v>11756</v>
      </c>
      <c r="C950" t="s">
        <v>671</v>
      </c>
      <c r="D950" t="s">
        <v>23</v>
      </c>
    </row>
    <row r="951" spans="1:4" x14ac:dyDescent="0.25">
      <c r="A951" s="2" t="s">
        <v>677</v>
      </c>
      <c r="B951" s="1">
        <v>11766</v>
      </c>
      <c r="C951" t="s">
        <v>671</v>
      </c>
      <c r="D951" t="s">
        <v>23</v>
      </c>
    </row>
    <row r="952" spans="1:4" x14ac:dyDescent="0.25">
      <c r="A952" s="2" t="s">
        <v>678</v>
      </c>
      <c r="B952" s="1">
        <v>11822</v>
      </c>
      <c r="C952" t="s">
        <v>671</v>
      </c>
      <c r="D952" t="s">
        <v>23</v>
      </c>
    </row>
    <row r="953" spans="1:4" x14ac:dyDescent="0.25">
      <c r="A953" s="2" t="s">
        <v>679</v>
      </c>
      <c r="B953" s="1">
        <v>11822</v>
      </c>
      <c r="C953" t="s">
        <v>671</v>
      </c>
      <c r="D953" t="s">
        <v>23</v>
      </c>
    </row>
    <row r="954" spans="1:4" x14ac:dyDescent="0.25">
      <c r="A954" s="2" t="s">
        <v>680</v>
      </c>
      <c r="B954" s="1">
        <v>11822</v>
      </c>
      <c r="C954" t="s">
        <v>671</v>
      </c>
      <c r="D954" t="s">
        <v>23</v>
      </c>
    </row>
    <row r="955" spans="1:4" x14ac:dyDescent="0.25">
      <c r="A955" s="2" t="s">
        <v>681</v>
      </c>
      <c r="B955" s="1">
        <v>11728</v>
      </c>
      <c r="C955" t="s">
        <v>671</v>
      </c>
      <c r="D955" t="s">
        <v>23</v>
      </c>
    </row>
    <row r="956" spans="1:4" x14ac:dyDescent="0.25">
      <c r="A956" s="2" t="s">
        <v>682</v>
      </c>
      <c r="B956" s="1">
        <v>11677</v>
      </c>
      <c r="C956" t="s">
        <v>671</v>
      </c>
      <c r="D956" t="s">
        <v>23</v>
      </c>
    </row>
    <row r="957" spans="1:4" x14ac:dyDescent="0.25">
      <c r="A957" s="2" t="s">
        <v>683</v>
      </c>
      <c r="B957" s="1">
        <v>11683</v>
      </c>
      <c r="C957" t="s">
        <v>671</v>
      </c>
      <c r="D957" t="s">
        <v>23</v>
      </c>
    </row>
    <row r="958" spans="1:4" x14ac:dyDescent="0.25">
      <c r="A958" s="2" t="s">
        <v>684</v>
      </c>
      <c r="B958" s="1">
        <v>11667</v>
      </c>
      <c r="C958" t="s">
        <v>671</v>
      </c>
      <c r="D958" t="s">
        <v>23</v>
      </c>
    </row>
    <row r="959" spans="1:4" x14ac:dyDescent="0.25">
      <c r="A959" s="2" t="s">
        <v>685</v>
      </c>
      <c r="B959" s="1">
        <v>11693</v>
      </c>
      <c r="C959" t="s">
        <v>671</v>
      </c>
      <c r="D959" t="s">
        <v>23</v>
      </c>
    </row>
    <row r="960" spans="1:4" x14ac:dyDescent="0.25">
      <c r="A960" s="2" t="s">
        <v>686</v>
      </c>
      <c r="B960" s="1">
        <v>11693</v>
      </c>
      <c r="C960" t="s">
        <v>671</v>
      </c>
      <c r="D960" t="s">
        <v>23</v>
      </c>
    </row>
    <row r="961" spans="1:4" x14ac:dyDescent="0.25">
      <c r="A961" s="2" t="s">
        <v>687</v>
      </c>
      <c r="B961" s="1">
        <v>11693</v>
      </c>
      <c r="C961" t="s">
        <v>671</v>
      </c>
      <c r="D961" t="s">
        <v>23</v>
      </c>
    </row>
    <row r="962" spans="1:4" x14ac:dyDescent="0.25">
      <c r="A962" s="2" t="s">
        <v>688</v>
      </c>
      <c r="B962" s="1">
        <v>11681</v>
      </c>
      <c r="C962" t="s">
        <v>671</v>
      </c>
      <c r="D962" t="s">
        <v>23</v>
      </c>
    </row>
    <row r="963" spans="1:4" x14ac:dyDescent="0.25">
      <c r="A963" s="2" t="s">
        <v>689</v>
      </c>
      <c r="B963" s="1">
        <v>11682</v>
      </c>
      <c r="C963" t="s">
        <v>671</v>
      </c>
      <c r="D963" t="s">
        <v>23</v>
      </c>
    </row>
    <row r="964" spans="1:4" x14ac:dyDescent="0.25">
      <c r="A964" s="2" t="s">
        <v>690</v>
      </c>
      <c r="B964" s="1">
        <v>11707</v>
      </c>
      <c r="C964" t="s">
        <v>671</v>
      </c>
      <c r="D964" t="s">
        <v>23</v>
      </c>
    </row>
    <row r="965" spans="1:4" x14ac:dyDescent="0.25">
      <c r="A965" s="2" t="s">
        <v>691</v>
      </c>
      <c r="B965" s="1">
        <v>11717</v>
      </c>
      <c r="C965" t="s">
        <v>671</v>
      </c>
      <c r="D965" t="s">
        <v>23</v>
      </c>
    </row>
    <row r="966" spans="1:4" x14ac:dyDescent="0.25">
      <c r="A966" s="2" t="s">
        <v>692</v>
      </c>
      <c r="B966" s="1">
        <v>11654</v>
      </c>
      <c r="C966" t="s">
        <v>671</v>
      </c>
      <c r="D966" t="s">
        <v>23</v>
      </c>
    </row>
    <row r="967" spans="1:4" x14ac:dyDescent="0.25">
      <c r="A967" s="2" t="s">
        <v>693</v>
      </c>
      <c r="B967" s="1">
        <v>11654</v>
      </c>
      <c r="C967" t="s">
        <v>671</v>
      </c>
      <c r="D967" t="s">
        <v>23</v>
      </c>
    </row>
    <row r="968" spans="1:4" x14ac:dyDescent="0.25">
      <c r="A968" s="2" t="s">
        <v>694</v>
      </c>
      <c r="B968" s="1">
        <v>11654</v>
      </c>
      <c r="C968" t="s">
        <v>671</v>
      </c>
      <c r="D968" t="s">
        <v>23</v>
      </c>
    </row>
    <row r="969" spans="1:4" x14ac:dyDescent="0.25">
      <c r="A969" s="2" t="s">
        <v>695</v>
      </c>
      <c r="B969" s="1">
        <v>11714</v>
      </c>
      <c r="C969" t="s">
        <v>671</v>
      </c>
      <c r="D969" t="s">
        <v>23</v>
      </c>
    </row>
    <row r="970" spans="1:4" x14ac:dyDescent="0.25">
      <c r="A970" s="2" t="s">
        <v>696</v>
      </c>
      <c r="B970" s="1">
        <v>11715</v>
      </c>
      <c r="C970" t="s">
        <v>671</v>
      </c>
      <c r="D970" t="s">
        <v>23</v>
      </c>
    </row>
    <row r="971" spans="1:4" x14ac:dyDescent="0.25">
      <c r="A971" s="2" t="s">
        <v>697</v>
      </c>
      <c r="B971" s="1">
        <v>11708</v>
      </c>
      <c r="C971" t="s">
        <v>671</v>
      </c>
      <c r="D971" t="s">
        <v>23</v>
      </c>
    </row>
    <row r="972" spans="1:4" x14ac:dyDescent="0.25">
      <c r="A972" s="2" t="s">
        <v>698</v>
      </c>
      <c r="B972" s="1">
        <v>11682</v>
      </c>
      <c r="C972" t="s">
        <v>671</v>
      </c>
      <c r="D972" t="s">
        <v>23</v>
      </c>
    </row>
    <row r="973" spans="1:4" x14ac:dyDescent="0.25">
      <c r="A973" s="2" t="s">
        <v>699</v>
      </c>
      <c r="B973" s="1">
        <v>11717</v>
      </c>
      <c r="C973" t="s">
        <v>671</v>
      </c>
      <c r="D973" t="s">
        <v>23</v>
      </c>
    </row>
    <row r="974" spans="1:4" x14ac:dyDescent="0.25">
      <c r="A974" s="2" t="s">
        <v>700</v>
      </c>
      <c r="B974" s="1">
        <v>11717</v>
      </c>
      <c r="C974" t="s">
        <v>671</v>
      </c>
      <c r="D974" t="s">
        <v>23</v>
      </c>
    </row>
    <row r="975" spans="1:4" x14ac:dyDescent="0.25">
      <c r="A975" s="2" t="s">
        <v>701</v>
      </c>
      <c r="B975" s="1">
        <v>11717</v>
      </c>
      <c r="C975" t="s">
        <v>671</v>
      </c>
      <c r="D975" t="s">
        <v>23</v>
      </c>
    </row>
    <row r="976" spans="1:4" x14ac:dyDescent="0.25">
      <c r="A976" s="2" t="s">
        <v>702</v>
      </c>
      <c r="B976" s="1">
        <v>11710</v>
      </c>
      <c r="C976" t="s">
        <v>703</v>
      </c>
      <c r="D976" t="s">
        <v>23</v>
      </c>
    </row>
    <row r="977" spans="1:4" x14ac:dyDescent="0.25">
      <c r="A977" s="2" t="s">
        <v>704</v>
      </c>
      <c r="B977" s="1">
        <v>11734</v>
      </c>
      <c r="C977" t="s">
        <v>703</v>
      </c>
      <c r="D977" t="s">
        <v>23</v>
      </c>
    </row>
    <row r="978" spans="1:4" x14ac:dyDescent="0.25">
      <c r="A978" s="2" t="s">
        <v>705</v>
      </c>
      <c r="B978" s="1">
        <v>11781</v>
      </c>
      <c r="C978" t="s">
        <v>703</v>
      </c>
      <c r="D978" t="s">
        <v>23</v>
      </c>
    </row>
    <row r="979" spans="1:4" x14ac:dyDescent="0.25">
      <c r="A979" s="2" t="s">
        <v>706</v>
      </c>
      <c r="B979" s="1">
        <v>11760</v>
      </c>
      <c r="C979" t="s">
        <v>703</v>
      </c>
      <c r="D979" t="s">
        <v>23</v>
      </c>
    </row>
    <row r="980" spans="1:4" x14ac:dyDescent="0.25">
      <c r="A980" s="2" t="s">
        <v>707</v>
      </c>
      <c r="B980" s="1">
        <v>11770</v>
      </c>
      <c r="C980" t="s">
        <v>703</v>
      </c>
      <c r="D980" t="s">
        <v>23</v>
      </c>
    </row>
    <row r="981" spans="1:4" x14ac:dyDescent="0.25">
      <c r="A981" s="2" t="s">
        <v>708</v>
      </c>
      <c r="B981" s="1">
        <v>11770</v>
      </c>
      <c r="C981" t="s">
        <v>703</v>
      </c>
      <c r="D981" t="s">
        <v>23</v>
      </c>
    </row>
    <row r="982" spans="1:4" x14ac:dyDescent="0.25">
      <c r="A982" s="2" t="s">
        <v>709</v>
      </c>
      <c r="B982" s="1">
        <v>11770</v>
      </c>
      <c r="C982" t="s">
        <v>703</v>
      </c>
      <c r="D982" t="s">
        <v>23</v>
      </c>
    </row>
    <row r="983" spans="1:4" x14ac:dyDescent="0.25">
      <c r="A983" s="2" t="s">
        <v>710</v>
      </c>
      <c r="B983" s="1">
        <v>11722</v>
      </c>
      <c r="C983" t="s">
        <v>703</v>
      </c>
      <c r="D983" t="s">
        <v>23</v>
      </c>
    </row>
    <row r="984" spans="1:4" x14ac:dyDescent="0.25">
      <c r="A984" s="2" t="s">
        <v>711</v>
      </c>
      <c r="B984" s="1">
        <v>11754</v>
      </c>
      <c r="C984" t="s">
        <v>703</v>
      </c>
      <c r="D984" t="s">
        <v>23</v>
      </c>
    </row>
    <row r="985" spans="1:4" x14ac:dyDescent="0.25">
      <c r="A985" s="2" t="s">
        <v>712</v>
      </c>
      <c r="B985" s="1">
        <v>11782</v>
      </c>
      <c r="C985" t="s">
        <v>703</v>
      </c>
      <c r="D985" t="s">
        <v>23</v>
      </c>
    </row>
    <row r="986" spans="1:4" x14ac:dyDescent="0.25">
      <c r="A986" s="2" t="s">
        <v>713</v>
      </c>
      <c r="B986" s="1">
        <v>11831</v>
      </c>
      <c r="C986" t="s">
        <v>703</v>
      </c>
      <c r="D986" t="s">
        <v>23</v>
      </c>
    </row>
    <row r="987" spans="1:4" x14ac:dyDescent="0.25">
      <c r="A987" s="2" t="s">
        <v>714</v>
      </c>
      <c r="B987" s="1">
        <v>11831</v>
      </c>
      <c r="C987" t="s">
        <v>703</v>
      </c>
      <c r="D987" t="s">
        <v>23</v>
      </c>
    </row>
    <row r="988" spans="1:4" x14ac:dyDescent="0.25">
      <c r="A988" s="2" t="s">
        <v>715</v>
      </c>
      <c r="B988" s="1">
        <v>11831</v>
      </c>
      <c r="C988" t="s">
        <v>703</v>
      </c>
      <c r="D988" t="s">
        <v>23</v>
      </c>
    </row>
    <row r="989" spans="1:4" x14ac:dyDescent="0.25">
      <c r="A989" s="2" t="s">
        <v>716</v>
      </c>
      <c r="B989" s="1">
        <v>11831</v>
      </c>
      <c r="C989" t="s">
        <v>703</v>
      </c>
      <c r="D989" t="s">
        <v>23</v>
      </c>
    </row>
    <row r="990" spans="1:4" x14ac:dyDescent="0.25">
      <c r="A990" s="2" t="s">
        <v>717</v>
      </c>
      <c r="B990" s="1">
        <v>11875</v>
      </c>
      <c r="C990" t="s">
        <v>703</v>
      </c>
      <c r="D990" t="s">
        <v>23</v>
      </c>
    </row>
    <row r="991" spans="1:4" x14ac:dyDescent="0.25">
      <c r="A991" s="2" t="s">
        <v>718</v>
      </c>
      <c r="B991" s="1">
        <v>11903</v>
      </c>
      <c r="C991" t="s">
        <v>703</v>
      </c>
      <c r="D991" t="s">
        <v>23</v>
      </c>
    </row>
    <row r="992" spans="1:4" x14ac:dyDescent="0.25">
      <c r="A992" s="2" t="s">
        <v>719</v>
      </c>
      <c r="B992" s="1">
        <v>11908</v>
      </c>
      <c r="C992" t="s">
        <v>703</v>
      </c>
      <c r="D992" t="s">
        <v>23</v>
      </c>
    </row>
    <row r="993" spans="1:4" x14ac:dyDescent="0.25">
      <c r="A993" s="2" t="s">
        <v>720</v>
      </c>
      <c r="B993" s="1">
        <v>12030</v>
      </c>
      <c r="C993" t="s">
        <v>703</v>
      </c>
      <c r="D993" t="s">
        <v>23</v>
      </c>
    </row>
    <row r="994" spans="1:4" x14ac:dyDescent="0.25">
      <c r="A994" s="2" t="s">
        <v>721</v>
      </c>
      <c r="B994" s="1">
        <v>11985</v>
      </c>
      <c r="C994" t="s">
        <v>703</v>
      </c>
      <c r="D994" t="s">
        <v>23</v>
      </c>
    </row>
    <row r="995" spans="1:4" x14ac:dyDescent="0.25">
      <c r="A995" s="2" t="s">
        <v>722</v>
      </c>
      <c r="B995" s="1">
        <v>11985</v>
      </c>
      <c r="C995" t="s">
        <v>703</v>
      </c>
      <c r="D995" t="s">
        <v>23</v>
      </c>
    </row>
    <row r="996" spans="1:4" x14ac:dyDescent="0.25">
      <c r="A996" s="2" t="s">
        <v>723</v>
      </c>
      <c r="B996" s="1">
        <v>11985</v>
      </c>
      <c r="C996" t="s">
        <v>703</v>
      </c>
      <c r="D996" t="s">
        <v>23</v>
      </c>
    </row>
    <row r="997" spans="1:4" x14ac:dyDescent="0.25">
      <c r="A997" s="2" t="s">
        <v>724</v>
      </c>
      <c r="B997" s="1">
        <v>11972</v>
      </c>
      <c r="C997" t="s">
        <v>703</v>
      </c>
      <c r="D997" t="s">
        <v>23</v>
      </c>
    </row>
    <row r="998" spans="1:4" x14ac:dyDescent="0.25">
      <c r="A998" s="2" t="s">
        <v>725</v>
      </c>
      <c r="B998" s="1">
        <v>11987</v>
      </c>
      <c r="C998" t="s">
        <v>703</v>
      </c>
      <c r="D998" t="s">
        <v>23</v>
      </c>
    </row>
    <row r="999" spans="1:4" x14ac:dyDescent="0.25">
      <c r="A999" s="2" t="s">
        <v>726</v>
      </c>
      <c r="B999" s="1">
        <v>11976</v>
      </c>
      <c r="C999" t="s">
        <v>703</v>
      </c>
      <c r="D999" t="s">
        <v>23</v>
      </c>
    </row>
    <row r="1000" spans="1:4" x14ac:dyDescent="0.25">
      <c r="A1000" s="2" t="s">
        <v>727</v>
      </c>
      <c r="B1000" s="1">
        <v>11947</v>
      </c>
      <c r="C1000" t="s">
        <v>703</v>
      </c>
      <c r="D1000" t="s">
        <v>23</v>
      </c>
    </row>
    <row r="1001" spans="1:4" x14ac:dyDescent="0.25">
      <c r="A1001" s="2" t="s">
        <v>728</v>
      </c>
      <c r="B1001" s="1">
        <v>12007</v>
      </c>
      <c r="C1001" t="s">
        <v>703</v>
      </c>
      <c r="D1001" t="s">
        <v>23</v>
      </c>
    </row>
    <row r="1002" spans="1:4" x14ac:dyDescent="0.25">
      <c r="A1002" s="2" t="s">
        <v>729</v>
      </c>
      <c r="B1002" s="1">
        <v>12007</v>
      </c>
      <c r="C1002" t="s">
        <v>703</v>
      </c>
      <c r="D1002" t="s">
        <v>23</v>
      </c>
    </row>
    <row r="1003" spans="1:4" x14ac:dyDescent="0.25">
      <c r="A1003" s="2" t="s">
        <v>730</v>
      </c>
      <c r="B1003" s="1">
        <v>12007</v>
      </c>
      <c r="C1003" t="s">
        <v>703</v>
      </c>
      <c r="D1003" t="s">
        <v>23</v>
      </c>
    </row>
    <row r="1004" spans="1:4" x14ac:dyDescent="0.25">
      <c r="A1004" s="2" t="s">
        <v>731</v>
      </c>
      <c r="B1004" s="1">
        <v>12120</v>
      </c>
      <c r="C1004" t="s">
        <v>703</v>
      </c>
      <c r="D1004" t="s">
        <v>23</v>
      </c>
    </row>
    <row r="1005" spans="1:4" x14ac:dyDescent="0.25">
      <c r="A1005" s="2" t="s">
        <v>732</v>
      </c>
      <c r="B1005" s="1">
        <v>12212</v>
      </c>
      <c r="C1005" t="s">
        <v>703</v>
      </c>
      <c r="D1005" t="s">
        <v>23</v>
      </c>
    </row>
    <row r="1006" spans="1:4" x14ac:dyDescent="0.25">
      <c r="A1006" s="2" t="s">
        <v>733</v>
      </c>
      <c r="B1006" s="1">
        <v>12188</v>
      </c>
      <c r="C1006" t="s">
        <v>734</v>
      </c>
      <c r="D1006" t="s">
        <v>24</v>
      </c>
    </row>
    <row r="1007" spans="1:4" x14ac:dyDescent="0.25">
      <c r="A1007" s="2" t="s">
        <v>735</v>
      </c>
      <c r="B1007" s="1">
        <v>12136</v>
      </c>
      <c r="C1007" t="s">
        <v>734</v>
      </c>
      <c r="D1007" t="s">
        <v>24</v>
      </c>
    </row>
    <row r="1008" spans="1:4" x14ac:dyDescent="0.25">
      <c r="A1008" s="2" t="s">
        <v>736</v>
      </c>
      <c r="B1008" s="1">
        <v>12144</v>
      </c>
      <c r="C1008" t="s">
        <v>734</v>
      </c>
      <c r="D1008" t="s">
        <v>24</v>
      </c>
    </row>
    <row r="1009" spans="1:4" x14ac:dyDescent="0.25">
      <c r="A1009" s="2" t="s">
        <v>737</v>
      </c>
      <c r="B1009" s="1">
        <v>12144</v>
      </c>
      <c r="C1009" t="s">
        <v>734</v>
      </c>
      <c r="D1009" t="s">
        <v>24</v>
      </c>
    </row>
    <row r="1010" spans="1:4" x14ac:dyDescent="0.25">
      <c r="A1010" s="2" t="s">
        <v>738</v>
      </c>
      <c r="B1010" s="1">
        <v>12144</v>
      </c>
      <c r="C1010" t="s">
        <v>734</v>
      </c>
      <c r="D1010" t="s">
        <v>24</v>
      </c>
    </row>
    <row r="1011" spans="1:4" x14ac:dyDescent="0.25">
      <c r="A1011" s="2" t="s">
        <v>739</v>
      </c>
      <c r="B1011" s="1">
        <v>12212</v>
      </c>
      <c r="C1011" t="s">
        <v>734</v>
      </c>
      <c r="D1011" t="s">
        <v>24</v>
      </c>
    </row>
    <row r="1012" spans="1:4" x14ac:dyDescent="0.25">
      <c r="A1012" s="2" t="s">
        <v>740</v>
      </c>
      <c r="B1012" s="1">
        <v>12190</v>
      </c>
      <c r="C1012" t="s">
        <v>734</v>
      </c>
      <c r="D1012" t="s">
        <v>24</v>
      </c>
    </row>
    <row r="1013" spans="1:4" x14ac:dyDescent="0.25">
      <c r="A1013" s="2" t="s">
        <v>741</v>
      </c>
      <c r="B1013" s="1">
        <v>12241</v>
      </c>
      <c r="C1013" t="s">
        <v>734</v>
      </c>
      <c r="D1013" t="s">
        <v>24</v>
      </c>
    </row>
    <row r="1014" spans="1:4" x14ac:dyDescent="0.25">
      <c r="A1014" s="2" t="s">
        <v>742</v>
      </c>
      <c r="B1014" s="1">
        <v>12190</v>
      </c>
      <c r="C1014" t="s">
        <v>734</v>
      </c>
      <c r="D1014" t="s">
        <v>24</v>
      </c>
    </row>
    <row r="1015" spans="1:4" x14ac:dyDescent="0.25">
      <c r="A1015" s="2" t="s">
        <v>743</v>
      </c>
      <c r="B1015" s="1">
        <v>12207</v>
      </c>
      <c r="C1015" t="s">
        <v>734</v>
      </c>
      <c r="D1015" t="s">
        <v>24</v>
      </c>
    </row>
    <row r="1016" spans="1:4" x14ac:dyDescent="0.25">
      <c r="A1016" s="2" t="s">
        <v>744</v>
      </c>
      <c r="B1016" s="1">
        <v>12207</v>
      </c>
      <c r="C1016" t="s">
        <v>734</v>
      </c>
      <c r="D1016" t="s">
        <v>24</v>
      </c>
    </row>
    <row r="1017" spans="1:4" x14ac:dyDescent="0.25">
      <c r="A1017" s="2" t="s">
        <v>745</v>
      </c>
      <c r="B1017" s="1">
        <v>12207</v>
      </c>
      <c r="C1017" t="s">
        <v>734</v>
      </c>
      <c r="D1017" t="s">
        <v>24</v>
      </c>
    </row>
    <row r="1018" spans="1:4" x14ac:dyDescent="0.25">
      <c r="A1018" s="2" t="s">
        <v>746</v>
      </c>
      <c r="B1018" s="1">
        <v>12202</v>
      </c>
      <c r="C1018" t="s">
        <v>734</v>
      </c>
      <c r="D1018" t="s">
        <v>24</v>
      </c>
    </row>
    <row r="1019" spans="1:4" x14ac:dyDescent="0.25">
      <c r="A1019" s="2" t="s">
        <v>747</v>
      </c>
      <c r="B1019" s="1">
        <v>12195</v>
      </c>
      <c r="C1019" t="s">
        <v>734</v>
      </c>
      <c r="D1019" t="s">
        <v>24</v>
      </c>
    </row>
    <row r="1020" spans="1:4" x14ac:dyDescent="0.25">
      <c r="A1020" s="2" t="s">
        <v>748</v>
      </c>
      <c r="B1020" s="1">
        <v>12229</v>
      </c>
      <c r="C1020" t="s">
        <v>734</v>
      </c>
      <c r="D1020" t="s">
        <v>24</v>
      </c>
    </row>
    <row r="1021" spans="1:4" x14ac:dyDescent="0.25">
      <c r="A1021" s="2" t="s">
        <v>749</v>
      </c>
      <c r="B1021" s="1">
        <v>12207</v>
      </c>
      <c r="C1021" t="s">
        <v>734</v>
      </c>
      <c r="D1021" t="s">
        <v>24</v>
      </c>
    </row>
    <row r="1022" spans="1:4" x14ac:dyDescent="0.25">
      <c r="A1022" s="2" t="s">
        <v>750</v>
      </c>
      <c r="B1022" s="1">
        <v>12222</v>
      </c>
      <c r="C1022" t="s">
        <v>734</v>
      </c>
      <c r="D1022" t="s">
        <v>24</v>
      </c>
    </row>
    <row r="1023" spans="1:4" x14ac:dyDescent="0.25">
      <c r="A1023" s="2" t="s">
        <v>751</v>
      </c>
      <c r="B1023" s="1">
        <v>12222</v>
      </c>
      <c r="C1023" t="s">
        <v>734</v>
      </c>
      <c r="D1023" t="s">
        <v>24</v>
      </c>
    </row>
    <row r="1024" spans="1:4" x14ac:dyDescent="0.25">
      <c r="A1024" s="2" t="s">
        <v>752</v>
      </c>
      <c r="B1024" s="1">
        <v>12222</v>
      </c>
      <c r="C1024" t="s">
        <v>734</v>
      </c>
      <c r="D1024" t="s">
        <v>24</v>
      </c>
    </row>
    <row r="1025" spans="1:4" x14ac:dyDescent="0.25">
      <c r="A1025" s="2" t="s">
        <v>753</v>
      </c>
      <c r="B1025" s="1">
        <v>12041</v>
      </c>
      <c r="C1025" t="s">
        <v>734</v>
      </c>
      <c r="D1025" t="s">
        <v>24</v>
      </c>
    </row>
    <row r="1026" spans="1:4" x14ac:dyDescent="0.25">
      <c r="A1026" s="2" t="s">
        <v>754</v>
      </c>
      <c r="B1026" s="1">
        <v>11993</v>
      </c>
      <c r="C1026" t="s">
        <v>734</v>
      </c>
      <c r="D1026" t="s">
        <v>24</v>
      </c>
    </row>
    <row r="1027" spans="1:4" x14ac:dyDescent="0.25">
      <c r="A1027" s="2" t="s">
        <v>755</v>
      </c>
      <c r="B1027" s="1">
        <v>12026</v>
      </c>
      <c r="C1027" t="s">
        <v>734</v>
      </c>
      <c r="D1027" t="s">
        <v>24</v>
      </c>
    </row>
    <row r="1028" spans="1:4" x14ac:dyDescent="0.25">
      <c r="A1028" s="2" t="s">
        <v>756</v>
      </c>
      <c r="B1028" s="1">
        <v>12034</v>
      </c>
      <c r="C1028" t="s">
        <v>734</v>
      </c>
      <c r="D1028" t="s">
        <v>24</v>
      </c>
    </row>
    <row r="1029" spans="1:4" x14ac:dyDescent="0.25">
      <c r="A1029" s="2" t="s">
        <v>757</v>
      </c>
      <c r="B1029" s="1">
        <v>12065</v>
      </c>
      <c r="C1029" t="s">
        <v>734</v>
      </c>
      <c r="D1029" t="s">
        <v>24</v>
      </c>
    </row>
    <row r="1030" spans="1:4" x14ac:dyDescent="0.25">
      <c r="A1030" s="2" t="s">
        <v>758</v>
      </c>
      <c r="B1030" s="1">
        <v>12065</v>
      </c>
      <c r="C1030" t="s">
        <v>734</v>
      </c>
      <c r="D1030" t="s">
        <v>24</v>
      </c>
    </row>
    <row r="1031" spans="1:4" x14ac:dyDescent="0.25">
      <c r="A1031" s="2" t="s">
        <v>759</v>
      </c>
      <c r="B1031" s="1">
        <v>12065</v>
      </c>
      <c r="C1031" t="s">
        <v>734</v>
      </c>
      <c r="D1031" t="s">
        <v>24</v>
      </c>
    </row>
    <row r="1032" spans="1:4" x14ac:dyDescent="0.25">
      <c r="A1032" s="2" t="s">
        <v>760</v>
      </c>
      <c r="B1032" s="1">
        <v>12042</v>
      </c>
      <c r="C1032" t="s">
        <v>734</v>
      </c>
      <c r="D1032" t="s">
        <v>24</v>
      </c>
    </row>
    <row r="1033" spans="1:4" x14ac:dyDescent="0.25">
      <c r="A1033" s="2" t="s">
        <v>761</v>
      </c>
      <c r="B1033" s="1">
        <v>12158</v>
      </c>
      <c r="C1033" t="s">
        <v>734</v>
      </c>
      <c r="D1033" t="s">
        <v>24</v>
      </c>
    </row>
    <row r="1034" spans="1:4" x14ac:dyDescent="0.25">
      <c r="A1034" s="2" t="s">
        <v>762</v>
      </c>
      <c r="B1034" s="1">
        <v>12163</v>
      </c>
      <c r="C1034" t="s">
        <v>734</v>
      </c>
      <c r="D1034" t="s">
        <v>24</v>
      </c>
    </row>
    <row r="1035" spans="1:4" x14ac:dyDescent="0.25">
      <c r="A1035" s="2" t="s">
        <v>763</v>
      </c>
      <c r="B1035" s="1">
        <v>12165</v>
      </c>
      <c r="C1035" t="s">
        <v>734</v>
      </c>
      <c r="D1035" t="s">
        <v>24</v>
      </c>
    </row>
    <row r="1036" spans="1:4" x14ac:dyDescent="0.25">
      <c r="A1036" s="2" t="s">
        <v>764</v>
      </c>
      <c r="B1036" s="1">
        <v>12082</v>
      </c>
      <c r="C1036" t="s">
        <v>734</v>
      </c>
      <c r="D1036" t="s">
        <v>24</v>
      </c>
    </row>
    <row r="1037" spans="1:4" x14ac:dyDescent="0.25">
      <c r="A1037" s="2" t="s">
        <v>765</v>
      </c>
      <c r="B1037" s="1">
        <v>12082</v>
      </c>
      <c r="C1037" t="s">
        <v>766</v>
      </c>
      <c r="D1037" t="s">
        <v>24</v>
      </c>
    </row>
    <row r="1038" spans="1:4" x14ac:dyDescent="0.25">
      <c r="A1038" s="2" t="s">
        <v>767</v>
      </c>
      <c r="B1038" s="1">
        <v>12082</v>
      </c>
      <c r="C1038" t="s">
        <v>766</v>
      </c>
      <c r="D1038" t="s">
        <v>24</v>
      </c>
    </row>
    <row r="1039" spans="1:4" x14ac:dyDescent="0.25">
      <c r="A1039" s="2" t="s">
        <v>768</v>
      </c>
      <c r="B1039" s="1">
        <v>12105</v>
      </c>
      <c r="C1039" t="s">
        <v>766</v>
      </c>
      <c r="D1039" t="s">
        <v>24</v>
      </c>
    </row>
    <row r="1040" spans="1:4" x14ac:dyDescent="0.25">
      <c r="A1040" s="2" t="s">
        <v>769</v>
      </c>
      <c r="B1040" s="1">
        <v>12130</v>
      </c>
      <c r="C1040" t="s">
        <v>766</v>
      </c>
      <c r="D1040" t="s">
        <v>24</v>
      </c>
    </row>
    <row r="1041" spans="1:4" x14ac:dyDescent="0.25">
      <c r="A1041" s="2" t="s">
        <v>770</v>
      </c>
      <c r="B1041" s="1">
        <v>12092</v>
      </c>
      <c r="C1041" t="s">
        <v>766</v>
      </c>
      <c r="D1041" t="s">
        <v>24</v>
      </c>
    </row>
    <row r="1042" spans="1:4" x14ac:dyDescent="0.25">
      <c r="A1042" s="2" t="s">
        <v>771</v>
      </c>
      <c r="B1042" s="1">
        <v>12179</v>
      </c>
      <c r="C1042" t="s">
        <v>766</v>
      </c>
      <c r="D1042" t="s">
        <v>24</v>
      </c>
    </row>
    <row r="1043" spans="1:4" x14ac:dyDescent="0.25">
      <c r="A1043" s="2" t="s">
        <v>772</v>
      </c>
      <c r="B1043" s="1">
        <v>12149</v>
      </c>
      <c r="C1043" t="s">
        <v>766</v>
      </c>
      <c r="D1043" t="s">
        <v>24</v>
      </c>
    </row>
    <row r="1044" spans="1:4" x14ac:dyDescent="0.25">
      <c r="A1044" s="2" t="s">
        <v>773</v>
      </c>
      <c r="B1044" s="1">
        <v>12149</v>
      </c>
      <c r="C1044" t="s">
        <v>766</v>
      </c>
      <c r="D1044" t="s">
        <v>24</v>
      </c>
    </row>
    <row r="1045" spans="1:4" x14ac:dyDescent="0.25">
      <c r="A1045" s="2" t="s">
        <v>774</v>
      </c>
      <c r="B1045" s="1">
        <v>12149</v>
      </c>
      <c r="C1045" t="s">
        <v>766</v>
      </c>
      <c r="D1045" t="s">
        <v>24</v>
      </c>
    </row>
    <row r="1046" spans="1:4" x14ac:dyDescent="0.25">
      <c r="A1046" s="2" t="s">
        <v>775</v>
      </c>
      <c r="B1046" s="1">
        <v>12138</v>
      </c>
      <c r="C1046" t="s">
        <v>766</v>
      </c>
      <c r="D1046" t="s">
        <v>24</v>
      </c>
    </row>
    <row r="1047" spans="1:4" x14ac:dyDescent="0.25">
      <c r="A1047" s="2" t="s">
        <v>776</v>
      </c>
      <c r="B1047" s="1">
        <v>12163</v>
      </c>
      <c r="C1047" t="s">
        <v>766</v>
      </c>
      <c r="D1047" t="s">
        <v>24</v>
      </c>
    </row>
    <row r="1048" spans="1:4" x14ac:dyDescent="0.25">
      <c r="A1048" s="2" t="s">
        <v>777</v>
      </c>
      <c r="B1048" s="1">
        <v>12205</v>
      </c>
      <c r="C1048" t="s">
        <v>766</v>
      </c>
      <c r="D1048" t="s">
        <v>24</v>
      </c>
    </row>
    <row r="1049" spans="1:4" x14ac:dyDescent="0.25">
      <c r="A1049" s="2" t="s">
        <v>778</v>
      </c>
      <c r="B1049" s="1">
        <v>12191</v>
      </c>
      <c r="C1049" t="s">
        <v>766</v>
      </c>
      <c r="D1049" t="s">
        <v>24</v>
      </c>
    </row>
    <row r="1050" spans="1:4" x14ac:dyDescent="0.25">
      <c r="A1050" s="2" t="s">
        <v>779</v>
      </c>
      <c r="B1050" s="1">
        <v>12206</v>
      </c>
      <c r="C1050" t="s">
        <v>766</v>
      </c>
      <c r="D1050" t="s">
        <v>24</v>
      </c>
    </row>
    <row r="1051" spans="1:4" x14ac:dyDescent="0.25">
      <c r="A1051" s="2" t="s">
        <v>780</v>
      </c>
      <c r="B1051" s="1">
        <v>12206</v>
      </c>
      <c r="C1051" t="s">
        <v>766</v>
      </c>
      <c r="D1051" t="s">
        <v>24</v>
      </c>
    </row>
    <row r="1052" spans="1:4" x14ac:dyDescent="0.25">
      <c r="A1052" s="2" t="s">
        <v>781</v>
      </c>
      <c r="B1052" s="1">
        <v>12206</v>
      </c>
      <c r="C1052" t="s">
        <v>766</v>
      </c>
      <c r="D1052" t="s">
        <v>24</v>
      </c>
    </row>
    <row r="1053" spans="1:4" x14ac:dyDescent="0.25">
      <c r="A1053" s="2" t="s">
        <v>782</v>
      </c>
      <c r="B1053" s="1">
        <v>12193</v>
      </c>
      <c r="C1053" t="s">
        <v>766</v>
      </c>
      <c r="D1053" t="s">
        <v>24</v>
      </c>
    </row>
    <row r="1054" spans="1:4" x14ac:dyDescent="0.25">
      <c r="A1054" s="2" t="s">
        <v>783</v>
      </c>
      <c r="B1054" s="1">
        <v>12146</v>
      </c>
      <c r="C1054" t="s">
        <v>766</v>
      </c>
      <c r="D1054" t="s">
        <v>24</v>
      </c>
    </row>
    <row r="1055" spans="1:4" x14ac:dyDescent="0.25">
      <c r="A1055" s="2" t="s">
        <v>784</v>
      </c>
      <c r="B1055" s="1">
        <v>12124</v>
      </c>
      <c r="C1055" t="s">
        <v>766</v>
      </c>
      <c r="D1055" t="s">
        <v>24</v>
      </c>
    </row>
    <row r="1056" spans="1:4" x14ac:dyDescent="0.25">
      <c r="A1056" s="2" t="s">
        <v>785</v>
      </c>
      <c r="B1056" s="1">
        <v>12161</v>
      </c>
      <c r="C1056" t="s">
        <v>766</v>
      </c>
      <c r="D1056" t="s">
        <v>24</v>
      </c>
    </row>
    <row r="1057" spans="1:4" x14ac:dyDescent="0.25">
      <c r="A1057" s="2" t="s">
        <v>786</v>
      </c>
      <c r="B1057" s="1">
        <v>12161</v>
      </c>
      <c r="C1057" t="s">
        <v>766</v>
      </c>
      <c r="D1057" t="s">
        <v>24</v>
      </c>
    </row>
    <row r="1058" spans="1:4" x14ac:dyDescent="0.25">
      <c r="A1058" s="2" t="s">
        <v>787</v>
      </c>
      <c r="B1058" s="1">
        <v>12161</v>
      </c>
      <c r="C1058" t="s">
        <v>766</v>
      </c>
      <c r="D1058" t="s">
        <v>24</v>
      </c>
    </row>
    <row r="1059" spans="1:4" x14ac:dyDescent="0.25">
      <c r="A1059" s="2" t="s">
        <v>788</v>
      </c>
      <c r="B1059" s="1">
        <v>12161</v>
      </c>
      <c r="C1059" t="s">
        <v>766</v>
      </c>
      <c r="D1059" t="s">
        <v>24</v>
      </c>
    </row>
    <row r="1060" spans="1:4" x14ac:dyDescent="0.25">
      <c r="A1060" s="2" t="s">
        <v>789</v>
      </c>
      <c r="B1060" s="1">
        <v>12122</v>
      </c>
      <c r="C1060" t="s">
        <v>766</v>
      </c>
      <c r="D1060" t="s">
        <v>24</v>
      </c>
    </row>
    <row r="1061" spans="1:4" x14ac:dyDescent="0.25">
      <c r="A1061" s="2" t="s">
        <v>790</v>
      </c>
      <c r="B1061" s="1">
        <v>12166</v>
      </c>
      <c r="C1061" t="s">
        <v>766</v>
      </c>
      <c r="D1061" t="s">
        <v>24</v>
      </c>
    </row>
    <row r="1062" spans="1:4" x14ac:dyDescent="0.25">
      <c r="A1062" s="2" t="s">
        <v>791</v>
      </c>
      <c r="B1062" s="1">
        <v>12160</v>
      </c>
      <c r="C1062" t="s">
        <v>766</v>
      </c>
      <c r="D1062" t="s">
        <v>24</v>
      </c>
    </row>
    <row r="1063" spans="1:4" x14ac:dyDescent="0.25">
      <c r="A1063" s="2" t="s">
        <v>792</v>
      </c>
      <c r="B1063" s="1">
        <v>12179</v>
      </c>
      <c r="C1063" t="s">
        <v>766</v>
      </c>
      <c r="D1063" t="s">
        <v>24</v>
      </c>
    </row>
    <row r="1064" spans="1:4" x14ac:dyDescent="0.25">
      <c r="A1064" s="2" t="s">
        <v>793</v>
      </c>
      <c r="B1064" s="1">
        <v>12196</v>
      </c>
      <c r="C1064" t="s">
        <v>766</v>
      </c>
      <c r="D1064" t="s">
        <v>24</v>
      </c>
    </row>
    <row r="1065" spans="1:4" x14ac:dyDescent="0.25">
      <c r="A1065" s="2" t="s">
        <v>794</v>
      </c>
      <c r="B1065" s="1">
        <v>12196</v>
      </c>
      <c r="C1065" t="s">
        <v>766</v>
      </c>
      <c r="D1065" t="s">
        <v>24</v>
      </c>
    </row>
    <row r="1066" spans="1:4" x14ac:dyDescent="0.25">
      <c r="A1066" s="2" t="s">
        <v>795</v>
      </c>
      <c r="B1066" s="1">
        <v>12196</v>
      </c>
      <c r="C1066" t="s">
        <v>766</v>
      </c>
      <c r="D1066" t="s">
        <v>24</v>
      </c>
    </row>
    <row r="1067" spans="1:4" x14ac:dyDescent="0.25">
      <c r="A1067" s="2" t="s">
        <v>796</v>
      </c>
      <c r="B1067" s="1">
        <v>12264</v>
      </c>
      <c r="C1067" t="s">
        <v>797</v>
      </c>
      <c r="D1067" t="s">
        <v>24</v>
      </c>
    </row>
    <row r="1068" spans="1:4" x14ac:dyDescent="0.25">
      <c r="A1068" s="2" t="s">
        <v>798</v>
      </c>
      <c r="B1068" s="1">
        <v>12276</v>
      </c>
      <c r="C1068" t="s">
        <v>797</v>
      </c>
      <c r="D1068" t="s">
        <v>24</v>
      </c>
    </row>
    <row r="1069" spans="1:4" x14ac:dyDescent="0.25">
      <c r="A1069" s="2" t="s">
        <v>799</v>
      </c>
      <c r="B1069" s="1">
        <v>12295</v>
      </c>
      <c r="C1069" t="s">
        <v>797</v>
      </c>
      <c r="D1069" t="s">
        <v>24</v>
      </c>
    </row>
    <row r="1070" spans="1:4" x14ac:dyDescent="0.25">
      <c r="A1070" s="2" t="s">
        <v>800</v>
      </c>
      <c r="B1070" s="1">
        <v>12318</v>
      </c>
      <c r="C1070" t="s">
        <v>797</v>
      </c>
      <c r="D1070" t="s">
        <v>24</v>
      </c>
    </row>
    <row r="1071" spans="1:4" x14ac:dyDescent="0.25">
      <c r="A1071" s="2" t="s">
        <v>801</v>
      </c>
      <c r="B1071" s="1">
        <v>12296</v>
      </c>
      <c r="C1071" t="s">
        <v>797</v>
      </c>
      <c r="D1071" t="s">
        <v>24</v>
      </c>
    </row>
    <row r="1072" spans="1:4" x14ac:dyDescent="0.25">
      <c r="A1072" s="2" t="s">
        <v>802</v>
      </c>
      <c r="B1072" s="1">
        <v>12296</v>
      </c>
      <c r="C1072" t="s">
        <v>797</v>
      </c>
      <c r="D1072" t="s">
        <v>24</v>
      </c>
    </row>
    <row r="1073" spans="1:4" x14ac:dyDescent="0.25">
      <c r="A1073" s="2" t="s">
        <v>803</v>
      </c>
      <c r="B1073" s="1">
        <v>12296</v>
      </c>
      <c r="C1073" t="s">
        <v>797</v>
      </c>
      <c r="D1073" t="s">
        <v>24</v>
      </c>
    </row>
    <row r="1074" spans="1:4" x14ac:dyDescent="0.25">
      <c r="A1074" s="2" t="s">
        <v>804</v>
      </c>
      <c r="B1074" s="1">
        <v>12352</v>
      </c>
      <c r="C1074" t="s">
        <v>797</v>
      </c>
      <c r="D1074" t="s">
        <v>24</v>
      </c>
    </row>
    <row r="1075" spans="1:4" x14ac:dyDescent="0.25">
      <c r="A1075" s="2" t="s">
        <v>805</v>
      </c>
      <c r="B1075" s="1">
        <v>12347</v>
      </c>
      <c r="C1075" t="s">
        <v>797</v>
      </c>
      <c r="D1075" t="s">
        <v>24</v>
      </c>
    </row>
    <row r="1076" spans="1:4" x14ac:dyDescent="0.25">
      <c r="A1076" s="2" t="s">
        <v>806</v>
      </c>
      <c r="B1076" s="1">
        <v>12336</v>
      </c>
      <c r="C1076" t="s">
        <v>797</v>
      </c>
      <c r="D1076" t="s">
        <v>24</v>
      </c>
    </row>
    <row r="1077" spans="1:4" x14ac:dyDescent="0.25">
      <c r="A1077" s="2" t="s">
        <v>807</v>
      </c>
      <c r="B1077" s="1">
        <v>12336</v>
      </c>
      <c r="C1077" t="s">
        <v>797</v>
      </c>
      <c r="D1077" t="s">
        <v>24</v>
      </c>
    </row>
    <row r="1078" spans="1:4" x14ac:dyDescent="0.25">
      <c r="A1078" s="2" t="s">
        <v>808</v>
      </c>
      <c r="B1078" s="1">
        <v>12432</v>
      </c>
      <c r="C1078" t="s">
        <v>797</v>
      </c>
      <c r="D1078" t="s">
        <v>24</v>
      </c>
    </row>
    <row r="1079" spans="1:4" x14ac:dyDescent="0.25">
      <c r="A1079" s="2" t="s">
        <v>809</v>
      </c>
      <c r="B1079" s="1">
        <v>12432</v>
      </c>
      <c r="C1079" t="s">
        <v>797</v>
      </c>
      <c r="D1079" t="s">
        <v>24</v>
      </c>
    </row>
    <row r="1080" spans="1:4" x14ac:dyDescent="0.25">
      <c r="A1080" s="2" t="s">
        <v>810</v>
      </c>
      <c r="B1080" s="1">
        <v>12432</v>
      </c>
      <c r="C1080" t="s">
        <v>797</v>
      </c>
      <c r="D1080" t="s">
        <v>24</v>
      </c>
    </row>
    <row r="1081" spans="1:4" x14ac:dyDescent="0.25">
      <c r="A1081" s="2" t="s">
        <v>811</v>
      </c>
      <c r="B1081" s="1">
        <v>12599</v>
      </c>
      <c r="C1081" t="s">
        <v>797</v>
      </c>
      <c r="D1081" t="s">
        <v>24</v>
      </c>
    </row>
    <row r="1082" spans="1:4" x14ac:dyDescent="0.25">
      <c r="A1082" s="2" t="s">
        <v>812</v>
      </c>
      <c r="B1082" s="1">
        <v>12900</v>
      </c>
      <c r="C1082" t="s">
        <v>797</v>
      </c>
      <c r="D1082" t="s">
        <v>24</v>
      </c>
    </row>
    <row r="1083" spans="1:4" x14ac:dyDescent="0.25">
      <c r="A1083" s="2" t="s">
        <v>813</v>
      </c>
      <c r="B1083" s="1">
        <v>12720</v>
      </c>
      <c r="C1083" t="s">
        <v>797</v>
      </c>
      <c r="D1083" t="s">
        <v>24</v>
      </c>
    </row>
    <row r="1084" spans="1:4" x14ac:dyDescent="0.25">
      <c r="A1084" s="2" t="s">
        <v>814</v>
      </c>
      <c r="B1084" s="1">
        <v>12565</v>
      </c>
      <c r="C1084" t="s">
        <v>797</v>
      </c>
      <c r="D1084" t="s">
        <v>24</v>
      </c>
    </row>
    <row r="1085" spans="1:4" x14ac:dyDescent="0.25">
      <c r="A1085" s="2" t="s">
        <v>815</v>
      </c>
      <c r="B1085" s="1">
        <v>12500</v>
      </c>
      <c r="C1085" t="s">
        <v>797</v>
      </c>
      <c r="D1085" t="s">
        <v>24</v>
      </c>
    </row>
    <row r="1086" spans="1:4" x14ac:dyDescent="0.25">
      <c r="A1086" s="2" t="s">
        <v>816</v>
      </c>
      <c r="B1086" s="1">
        <v>12500</v>
      </c>
      <c r="C1086" t="s">
        <v>797</v>
      </c>
      <c r="D1086" t="s">
        <v>24</v>
      </c>
    </row>
    <row r="1087" spans="1:4" x14ac:dyDescent="0.25">
      <c r="A1087" s="2" t="s">
        <v>817</v>
      </c>
      <c r="B1087" s="1">
        <v>12500</v>
      </c>
      <c r="C1087" t="s">
        <v>797</v>
      </c>
      <c r="D1087" t="s">
        <v>24</v>
      </c>
    </row>
    <row r="1088" spans="1:4" x14ac:dyDescent="0.25">
      <c r="A1088" s="2" t="s">
        <v>818</v>
      </c>
      <c r="B1088" s="1">
        <v>12435</v>
      </c>
      <c r="C1088" t="s">
        <v>797</v>
      </c>
      <c r="D1088" t="s">
        <v>24</v>
      </c>
    </row>
    <row r="1089" spans="1:4" x14ac:dyDescent="0.25">
      <c r="A1089" s="2" t="s">
        <v>819</v>
      </c>
      <c r="B1089" s="1">
        <v>12456</v>
      </c>
      <c r="C1089" t="s">
        <v>797</v>
      </c>
      <c r="D1089" t="s">
        <v>24</v>
      </c>
    </row>
    <row r="1090" spans="1:4" x14ac:dyDescent="0.25">
      <c r="A1090" s="2" t="s">
        <v>820</v>
      </c>
      <c r="B1090" s="1">
        <v>12467</v>
      </c>
      <c r="C1090" t="s">
        <v>797</v>
      </c>
      <c r="D1090" t="s">
        <v>24</v>
      </c>
    </row>
    <row r="1091" spans="1:4" x14ac:dyDescent="0.25">
      <c r="A1091" s="2" t="s">
        <v>821</v>
      </c>
      <c r="B1091" s="1">
        <v>12467</v>
      </c>
      <c r="C1091" t="s">
        <v>797</v>
      </c>
      <c r="D1091" t="s">
        <v>24</v>
      </c>
    </row>
    <row r="1092" spans="1:4" x14ac:dyDescent="0.25">
      <c r="A1092" s="2" t="s">
        <v>822</v>
      </c>
      <c r="B1092" s="1">
        <v>12467</v>
      </c>
      <c r="C1092" t="s">
        <v>797</v>
      </c>
      <c r="D1092" t="s">
        <v>24</v>
      </c>
    </row>
    <row r="1093" spans="1:4" x14ac:dyDescent="0.25">
      <c r="A1093" s="2" t="s">
        <v>823</v>
      </c>
      <c r="B1093" s="1">
        <v>12467</v>
      </c>
      <c r="C1093" t="s">
        <v>797</v>
      </c>
      <c r="D1093" t="s">
        <v>24</v>
      </c>
    </row>
    <row r="1094" spans="1:4" x14ac:dyDescent="0.25">
      <c r="A1094" s="2" t="s">
        <v>824</v>
      </c>
      <c r="B1094" s="1">
        <v>12467</v>
      </c>
      <c r="C1094" t="s">
        <v>797</v>
      </c>
      <c r="D1094" t="s">
        <v>24</v>
      </c>
    </row>
    <row r="1095" spans="1:4" x14ac:dyDescent="0.25">
      <c r="A1095" s="2" t="s">
        <v>825</v>
      </c>
      <c r="B1095" s="1">
        <v>12434</v>
      </c>
      <c r="C1095" t="s">
        <v>797</v>
      </c>
      <c r="D1095" t="s">
        <v>24</v>
      </c>
    </row>
    <row r="1096" spans="1:4" x14ac:dyDescent="0.25">
      <c r="A1096" s="2" t="s">
        <v>826</v>
      </c>
      <c r="B1096" s="1">
        <v>12436</v>
      </c>
      <c r="C1096" t="s">
        <v>797</v>
      </c>
      <c r="D1096" t="s">
        <v>24</v>
      </c>
    </row>
    <row r="1097" spans="1:4" x14ac:dyDescent="0.25">
      <c r="A1097" s="2" t="s">
        <v>827</v>
      </c>
      <c r="B1097" s="1">
        <v>12440</v>
      </c>
      <c r="C1097" t="s">
        <v>797</v>
      </c>
      <c r="D1097" t="s">
        <v>24</v>
      </c>
    </row>
    <row r="1098" spans="1:4" x14ac:dyDescent="0.25">
      <c r="A1098" s="2" t="s">
        <v>828</v>
      </c>
      <c r="B1098" s="1">
        <v>12440</v>
      </c>
      <c r="C1098" t="s">
        <v>829</v>
      </c>
      <c r="D1098" t="s">
        <v>25</v>
      </c>
    </row>
    <row r="1099" spans="1:4" x14ac:dyDescent="0.25">
      <c r="A1099" s="2" t="s">
        <v>830</v>
      </c>
      <c r="B1099" s="1">
        <v>12474</v>
      </c>
      <c r="C1099" t="s">
        <v>829</v>
      </c>
      <c r="D1099" t="s">
        <v>25</v>
      </c>
    </row>
    <row r="1100" spans="1:4" x14ac:dyDescent="0.25">
      <c r="A1100" s="2" t="s">
        <v>831</v>
      </c>
      <c r="B1100" s="1">
        <v>12474</v>
      </c>
      <c r="C1100" t="s">
        <v>829</v>
      </c>
      <c r="D1100" t="s">
        <v>25</v>
      </c>
    </row>
    <row r="1101" spans="1:4" x14ac:dyDescent="0.25">
      <c r="A1101" s="2" t="s">
        <v>832</v>
      </c>
      <c r="B1101" s="1">
        <v>12474</v>
      </c>
      <c r="C1101" t="s">
        <v>829</v>
      </c>
      <c r="D1101" t="s">
        <v>25</v>
      </c>
    </row>
    <row r="1102" spans="1:4" x14ac:dyDescent="0.25">
      <c r="A1102" s="2" t="s">
        <v>833</v>
      </c>
      <c r="B1102" s="1">
        <v>12589</v>
      </c>
      <c r="C1102" t="s">
        <v>829</v>
      </c>
      <c r="D1102" t="s">
        <v>25</v>
      </c>
    </row>
    <row r="1103" spans="1:4" x14ac:dyDescent="0.25">
      <c r="A1103" s="2" t="s">
        <v>834</v>
      </c>
      <c r="B1103" s="1">
        <v>12658</v>
      </c>
      <c r="C1103" t="s">
        <v>829</v>
      </c>
      <c r="D1103" t="s">
        <v>25</v>
      </c>
    </row>
    <row r="1104" spans="1:4" x14ac:dyDescent="0.25">
      <c r="A1104" s="2" t="s">
        <v>835</v>
      </c>
      <c r="B1104" s="1">
        <v>12732</v>
      </c>
      <c r="C1104" t="s">
        <v>829</v>
      </c>
      <c r="D1104" t="s">
        <v>25</v>
      </c>
    </row>
    <row r="1105" spans="1:4" x14ac:dyDescent="0.25">
      <c r="A1105" s="2" t="s">
        <v>836</v>
      </c>
      <c r="B1105" s="1">
        <v>12731</v>
      </c>
      <c r="C1105" t="s">
        <v>829</v>
      </c>
      <c r="D1105" t="s">
        <v>25</v>
      </c>
    </row>
    <row r="1106" spans="1:4" x14ac:dyDescent="0.25">
      <c r="A1106" s="2" t="s">
        <v>837</v>
      </c>
      <c r="B1106" s="1">
        <v>12640</v>
      </c>
      <c r="C1106" t="s">
        <v>829</v>
      </c>
      <c r="D1106" t="s">
        <v>25</v>
      </c>
    </row>
    <row r="1107" spans="1:4" x14ac:dyDescent="0.25">
      <c r="A1107" s="2" t="s">
        <v>838</v>
      </c>
      <c r="B1107" s="1">
        <v>12640</v>
      </c>
      <c r="C1107" t="s">
        <v>829</v>
      </c>
      <c r="D1107" t="s">
        <v>25</v>
      </c>
    </row>
    <row r="1108" spans="1:4" x14ac:dyDescent="0.25">
      <c r="A1108" s="2" t="s">
        <v>839</v>
      </c>
      <c r="B1108" s="1">
        <v>12640</v>
      </c>
      <c r="C1108" t="s">
        <v>829</v>
      </c>
      <c r="D1108" t="s">
        <v>25</v>
      </c>
    </row>
    <row r="1109" spans="1:4" x14ac:dyDescent="0.25">
      <c r="A1109" s="2" t="s">
        <v>840</v>
      </c>
      <c r="B1109" s="1">
        <v>12568</v>
      </c>
      <c r="C1109" t="s">
        <v>829</v>
      </c>
      <c r="D1109" t="s">
        <v>25</v>
      </c>
    </row>
    <row r="1110" spans="1:4" x14ac:dyDescent="0.25">
      <c r="A1110" s="2" t="s">
        <v>841</v>
      </c>
      <c r="B1110" s="1">
        <v>12608</v>
      </c>
      <c r="C1110" t="s">
        <v>829</v>
      </c>
      <c r="D1110" t="s">
        <v>25</v>
      </c>
    </row>
    <row r="1111" spans="1:4" x14ac:dyDescent="0.25">
      <c r="A1111" s="2" t="s">
        <v>842</v>
      </c>
      <c r="B1111" s="1">
        <v>12580</v>
      </c>
      <c r="C1111" t="s">
        <v>829</v>
      </c>
      <c r="D1111" t="s">
        <v>25</v>
      </c>
    </row>
    <row r="1112" spans="1:4" x14ac:dyDescent="0.25">
      <c r="A1112" s="2" t="s">
        <v>843</v>
      </c>
      <c r="B1112" s="1">
        <v>12617</v>
      </c>
      <c r="C1112" t="s">
        <v>829</v>
      </c>
      <c r="D1112" t="s">
        <v>25</v>
      </c>
    </row>
    <row r="1113" spans="1:4" x14ac:dyDescent="0.25">
      <c r="A1113" s="2" t="s">
        <v>844</v>
      </c>
      <c r="B1113" s="1">
        <v>12593</v>
      </c>
      <c r="C1113" t="s">
        <v>829</v>
      </c>
      <c r="D1113" t="s">
        <v>25</v>
      </c>
    </row>
    <row r="1114" spans="1:4" x14ac:dyDescent="0.25">
      <c r="A1114" s="2" t="s">
        <v>845</v>
      </c>
      <c r="B1114" s="1">
        <v>12593</v>
      </c>
      <c r="C1114" t="s">
        <v>829</v>
      </c>
      <c r="D1114" t="s">
        <v>25</v>
      </c>
    </row>
    <row r="1115" spans="1:4" x14ac:dyDescent="0.25">
      <c r="A1115" s="2" t="s">
        <v>846</v>
      </c>
      <c r="B1115" s="1">
        <v>12593</v>
      </c>
      <c r="C1115" t="s">
        <v>829</v>
      </c>
      <c r="D1115" t="s">
        <v>25</v>
      </c>
    </row>
    <row r="1116" spans="1:4" x14ac:dyDescent="0.25">
      <c r="A1116" s="2" t="s">
        <v>847</v>
      </c>
      <c r="B1116" s="1">
        <v>12612</v>
      </c>
      <c r="C1116" t="s">
        <v>829</v>
      </c>
      <c r="D1116" t="s">
        <v>25</v>
      </c>
    </row>
    <row r="1117" spans="1:4" x14ac:dyDescent="0.25">
      <c r="A1117" s="2" t="s">
        <v>848</v>
      </c>
      <c r="B1117" s="1">
        <v>12659</v>
      </c>
      <c r="C1117" t="s">
        <v>829</v>
      </c>
      <c r="D1117" t="s">
        <v>25</v>
      </c>
    </row>
    <row r="1118" spans="1:4" x14ac:dyDescent="0.25">
      <c r="A1118" s="2" t="s">
        <v>849</v>
      </c>
      <c r="B1118" s="1">
        <v>12557</v>
      </c>
      <c r="C1118" t="s">
        <v>829</v>
      </c>
      <c r="D1118" t="s">
        <v>25</v>
      </c>
    </row>
    <row r="1119" spans="1:4" x14ac:dyDescent="0.25">
      <c r="A1119" s="2" t="s">
        <v>850</v>
      </c>
      <c r="B1119" s="1">
        <v>12451</v>
      </c>
      <c r="C1119" t="s">
        <v>829</v>
      </c>
      <c r="D1119" t="s">
        <v>25</v>
      </c>
    </row>
    <row r="1120" spans="1:4" x14ac:dyDescent="0.25">
      <c r="A1120" s="2" t="s">
        <v>851</v>
      </c>
      <c r="B1120" s="1">
        <v>12444</v>
      </c>
      <c r="C1120" t="s">
        <v>829</v>
      </c>
      <c r="D1120" t="s">
        <v>25</v>
      </c>
    </row>
    <row r="1121" spans="1:4" x14ac:dyDescent="0.25">
      <c r="A1121" s="2" t="s">
        <v>852</v>
      </c>
      <c r="B1121" s="1">
        <v>12444</v>
      </c>
      <c r="C1121" t="s">
        <v>829</v>
      </c>
      <c r="D1121" t="s">
        <v>25</v>
      </c>
    </row>
    <row r="1122" spans="1:4" x14ac:dyDescent="0.25">
      <c r="A1122" s="2" t="s">
        <v>853</v>
      </c>
      <c r="B1122" s="1">
        <v>12444</v>
      </c>
      <c r="C1122" t="s">
        <v>829</v>
      </c>
      <c r="D1122" t="s">
        <v>25</v>
      </c>
    </row>
    <row r="1123" spans="1:4" x14ac:dyDescent="0.25">
      <c r="A1123" s="2" t="s">
        <v>854</v>
      </c>
      <c r="B1123" s="1">
        <v>12517</v>
      </c>
      <c r="C1123" t="s">
        <v>829</v>
      </c>
      <c r="D1123" t="s">
        <v>25</v>
      </c>
    </row>
    <row r="1124" spans="1:4" x14ac:dyDescent="0.25">
      <c r="A1124" s="2" t="s">
        <v>855</v>
      </c>
      <c r="B1124" s="1">
        <v>12493</v>
      </c>
      <c r="C1124" t="s">
        <v>829</v>
      </c>
      <c r="D1124" t="s">
        <v>25</v>
      </c>
    </row>
    <row r="1125" spans="1:4" x14ac:dyDescent="0.25">
      <c r="A1125" s="2" t="s">
        <v>856</v>
      </c>
      <c r="B1125" s="1">
        <v>12498</v>
      </c>
      <c r="C1125" t="s">
        <v>829</v>
      </c>
      <c r="D1125" t="s">
        <v>25</v>
      </c>
    </row>
    <row r="1126" spans="1:4" x14ac:dyDescent="0.25">
      <c r="A1126" s="2" t="s">
        <v>857</v>
      </c>
      <c r="B1126" s="1">
        <v>12515</v>
      </c>
      <c r="C1126" t="s">
        <v>829</v>
      </c>
      <c r="D1126" t="s">
        <v>25</v>
      </c>
    </row>
    <row r="1127" spans="1:4" x14ac:dyDescent="0.25">
      <c r="A1127" s="2" t="s">
        <v>858</v>
      </c>
      <c r="B1127" s="1">
        <v>12625</v>
      </c>
      <c r="C1127" t="s">
        <v>829</v>
      </c>
      <c r="D1127" t="s">
        <v>25</v>
      </c>
    </row>
    <row r="1128" spans="1:4" x14ac:dyDescent="0.25">
      <c r="A1128" s="2" t="s">
        <v>859</v>
      </c>
      <c r="B1128" s="1">
        <v>12625</v>
      </c>
      <c r="C1128" t="s">
        <v>829</v>
      </c>
      <c r="D1128" t="s">
        <v>25</v>
      </c>
    </row>
    <row r="1129" spans="1:4" x14ac:dyDescent="0.25">
      <c r="A1129" s="2" t="s">
        <v>860</v>
      </c>
      <c r="B1129" s="1">
        <v>12625</v>
      </c>
      <c r="C1129" t="s">
        <v>861</v>
      </c>
      <c r="D1129" t="s">
        <v>25</v>
      </c>
    </row>
    <row r="1130" spans="1:4" x14ac:dyDescent="0.25">
      <c r="A1130" s="2" t="s">
        <v>862</v>
      </c>
      <c r="B1130" s="1">
        <v>12700</v>
      </c>
      <c r="C1130" t="s">
        <v>861</v>
      </c>
      <c r="D1130" t="s">
        <v>25</v>
      </c>
    </row>
    <row r="1131" spans="1:4" x14ac:dyDescent="0.25">
      <c r="A1131" s="2" t="s">
        <v>863</v>
      </c>
      <c r="B1131" s="1">
        <v>12643</v>
      </c>
      <c r="C1131" t="s">
        <v>861</v>
      </c>
      <c r="D1131" t="s">
        <v>25</v>
      </c>
    </row>
    <row r="1132" spans="1:4" x14ac:dyDescent="0.25">
      <c r="A1132" s="2" t="s">
        <v>864</v>
      </c>
      <c r="B1132" s="1">
        <v>12609</v>
      </c>
      <c r="C1132" t="s">
        <v>861</v>
      </c>
      <c r="D1132" t="s">
        <v>25</v>
      </c>
    </row>
    <row r="1133" spans="1:4" x14ac:dyDescent="0.25">
      <c r="A1133" s="2" t="s">
        <v>865</v>
      </c>
      <c r="B1133" s="1">
        <v>12653</v>
      </c>
      <c r="C1133" t="s">
        <v>861</v>
      </c>
      <c r="D1133" t="s">
        <v>25</v>
      </c>
    </row>
    <row r="1134" spans="1:4" x14ac:dyDescent="0.25">
      <c r="A1134" s="2" t="s">
        <v>866</v>
      </c>
      <c r="B1134" s="1">
        <v>12613</v>
      </c>
      <c r="C1134" t="s">
        <v>861</v>
      </c>
      <c r="D1134" t="s">
        <v>25</v>
      </c>
    </row>
    <row r="1135" spans="1:4" x14ac:dyDescent="0.25">
      <c r="A1135" s="2" t="s">
        <v>867</v>
      </c>
      <c r="B1135" s="1">
        <v>12613</v>
      </c>
      <c r="C1135" t="s">
        <v>861</v>
      </c>
      <c r="D1135" t="s">
        <v>25</v>
      </c>
    </row>
    <row r="1136" spans="1:4" x14ac:dyDescent="0.25">
      <c r="A1136" s="2" t="s">
        <v>868</v>
      </c>
      <c r="B1136" s="1">
        <v>12613</v>
      </c>
      <c r="C1136" t="s">
        <v>861</v>
      </c>
      <c r="D1136" t="s">
        <v>25</v>
      </c>
    </row>
    <row r="1137" spans="1:4" x14ac:dyDescent="0.25">
      <c r="A1137" s="2" t="s">
        <v>869</v>
      </c>
      <c r="B1137" s="1">
        <v>12679</v>
      </c>
      <c r="C1137" t="s">
        <v>861</v>
      </c>
      <c r="D1137" t="s">
        <v>25</v>
      </c>
    </row>
    <row r="1138" spans="1:4" x14ac:dyDescent="0.25">
      <c r="A1138" s="2" t="s">
        <v>870</v>
      </c>
      <c r="B1138" s="1">
        <v>12644</v>
      </c>
      <c r="C1138" t="s">
        <v>861</v>
      </c>
      <c r="D1138" t="s">
        <v>25</v>
      </c>
    </row>
    <row r="1139" spans="1:4" x14ac:dyDescent="0.25">
      <c r="A1139" s="2" t="s">
        <v>871</v>
      </c>
      <c r="B1139" s="1">
        <v>12700</v>
      </c>
      <c r="C1139" t="s">
        <v>861</v>
      </c>
      <c r="D1139" t="s">
        <v>25</v>
      </c>
    </row>
    <row r="1140" spans="1:4" x14ac:dyDescent="0.25">
      <c r="A1140" s="2" t="s">
        <v>872</v>
      </c>
      <c r="B1140" s="1">
        <v>12794</v>
      </c>
      <c r="C1140" t="s">
        <v>861</v>
      </c>
      <c r="D1140" t="s">
        <v>25</v>
      </c>
    </row>
    <row r="1141" spans="1:4" x14ac:dyDescent="0.25">
      <c r="A1141" s="2" t="s">
        <v>873</v>
      </c>
      <c r="B1141" s="1">
        <v>12769</v>
      </c>
      <c r="C1141" t="s">
        <v>861</v>
      </c>
      <c r="D1141" t="s">
        <v>25</v>
      </c>
    </row>
    <row r="1142" spans="1:4" x14ac:dyDescent="0.25">
      <c r="A1142" s="2" t="s">
        <v>874</v>
      </c>
      <c r="B1142" s="1">
        <v>12769</v>
      </c>
      <c r="C1142" t="s">
        <v>861</v>
      </c>
      <c r="D1142" t="s">
        <v>25</v>
      </c>
    </row>
    <row r="1143" spans="1:4" x14ac:dyDescent="0.25">
      <c r="A1143" s="2" t="s">
        <v>875</v>
      </c>
      <c r="B1143" s="1">
        <v>12769</v>
      </c>
      <c r="C1143" t="s">
        <v>861</v>
      </c>
      <c r="D1143" t="s">
        <v>25</v>
      </c>
    </row>
    <row r="1144" spans="1:4" x14ac:dyDescent="0.25">
      <c r="A1144" s="2" t="s">
        <v>876</v>
      </c>
      <c r="B1144" s="1">
        <v>12742</v>
      </c>
      <c r="C1144" t="s">
        <v>861</v>
      </c>
      <c r="D1144" t="s">
        <v>25</v>
      </c>
    </row>
    <row r="1145" spans="1:4" x14ac:dyDescent="0.25">
      <c r="A1145" s="2" t="s">
        <v>877</v>
      </c>
      <c r="B1145" s="1">
        <v>12757</v>
      </c>
      <c r="C1145" t="s">
        <v>861</v>
      </c>
      <c r="D1145" t="s">
        <v>25</v>
      </c>
    </row>
    <row r="1146" spans="1:4" x14ac:dyDescent="0.25">
      <c r="A1146" s="2" t="s">
        <v>878</v>
      </c>
      <c r="B1146" s="1">
        <v>12804</v>
      </c>
      <c r="C1146" t="s">
        <v>861</v>
      </c>
      <c r="D1146" t="s">
        <v>25</v>
      </c>
    </row>
    <row r="1147" spans="1:4" x14ac:dyDescent="0.25">
      <c r="A1147" s="2" t="s">
        <v>879</v>
      </c>
      <c r="B1147" s="1">
        <v>12804</v>
      </c>
      <c r="C1147" t="s">
        <v>861</v>
      </c>
      <c r="D1147" t="s">
        <v>25</v>
      </c>
    </row>
    <row r="1148" spans="1:4" x14ac:dyDescent="0.25">
      <c r="A1148" s="2" t="s">
        <v>880</v>
      </c>
      <c r="B1148" s="1">
        <v>12849</v>
      </c>
      <c r="C1148" t="s">
        <v>861</v>
      </c>
      <c r="D1148" t="s">
        <v>25</v>
      </c>
    </row>
    <row r="1149" spans="1:4" x14ac:dyDescent="0.25">
      <c r="A1149" s="2" t="s">
        <v>881</v>
      </c>
      <c r="B1149" s="1">
        <v>12849</v>
      </c>
      <c r="C1149" t="s">
        <v>861</v>
      </c>
      <c r="D1149" t="s">
        <v>25</v>
      </c>
    </row>
    <row r="1150" spans="1:4" x14ac:dyDescent="0.25">
      <c r="A1150" s="2" t="s">
        <v>882</v>
      </c>
      <c r="B1150" s="1">
        <v>12849</v>
      </c>
      <c r="C1150" t="s">
        <v>861</v>
      </c>
      <c r="D1150" t="s">
        <v>25</v>
      </c>
    </row>
    <row r="1151" spans="1:4" x14ac:dyDescent="0.25">
      <c r="A1151" s="2" t="s">
        <v>883</v>
      </c>
      <c r="B1151" s="1">
        <v>12813</v>
      </c>
      <c r="C1151" t="s">
        <v>861</v>
      </c>
      <c r="D1151" t="s">
        <v>25</v>
      </c>
    </row>
    <row r="1152" spans="1:4" x14ac:dyDescent="0.25">
      <c r="A1152" s="2" t="s">
        <v>884</v>
      </c>
      <c r="B1152" s="1">
        <v>12866</v>
      </c>
      <c r="C1152" t="s">
        <v>861</v>
      </c>
      <c r="D1152" t="s">
        <v>25</v>
      </c>
    </row>
    <row r="1153" spans="1:4" x14ac:dyDescent="0.25">
      <c r="A1153" s="2" t="s">
        <v>885</v>
      </c>
      <c r="B1153" s="1">
        <v>12887</v>
      </c>
      <c r="C1153" t="s">
        <v>861</v>
      </c>
      <c r="D1153" t="s">
        <v>25</v>
      </c>
    </row>
    <row r="1154" spans="1:4" x14ac:dyDescent="0.25">
      <c r="A1154" s="2" t="s">
        <v>886</v>
      </c>
      <c r="B1154" s="1">
        <v>12862</v>
      </c>
      <c r="C1154" t="s">
        <v>861</v>
      </c>
      <c r="D1154" t="s">
        <v>25</v>
      </c>
    </row>
    <row r="1155" spans="1:4" x14ac:dyDescent="0.25">
      <c r="A1155" s="2" t="s">
        <v>887</v>
      </c>
      <c r="B1155" s="1">
        <v>12863</v>
      </c>
      <c r="C1155" t="s">
        <v>861</v>
      </c>
      <c r="D1155" t="s">
        <v>25</v>
      </c>
    </row>
    <row r="1156" spans="1:4" x14ac:dyDescent="0.25">
      <c r="A1156" s="2" t="s">
        <v>888</v>
      </c>
      <c r="B1156" s="1">
        <v>12863</v>
      </c>
      <c r="C1156" t="s">
        <v>861</v>
      </c>
      <c r="D1156" t="s">
        <v>25</v>
      </c>
    </row>
    <row r="1157" spans="1:4" x14ac:dyDescent="0.25">
      <c r="A1157" s="2" t="s">
        <v>889</v>
      </c>
      <c r="B1157" s="1">
        <v>12863</v>
      </c>
      <c r="C1157" t="s">
        <v>890</v>
      </c>
      <c r="D1157" t="s">
        <v>25</v>
      </c>
    </row>
    <row r="1158" spans="1:4" x14ac:dyDescent="0.25">
      <c r="A1158" s="2" t="s">
        <v>891</v>
      </c>
      <c r="B1158" s="1">
        <v>12993</v>
      </c>
      <c r="C1158" t="s">
        <v>890</v>
      </c>
      <c r="D1158" t="s">
        <v>25</v>
      </c>
    </row>
    <row r="1159" spans="1:4" x14ac:dyDescent="0.25">
      <c r="A1159" s="2" t="s">
        <v>892</v>
      </c>
      <c r="B1159" s="1">
        <v>12962</v>
      </c>
      <c r="C1159" t="s">
        <v>890</v>
      </c>
      <c r="D1159" t="s">
        <v>25</v>
      </c>
    </row>
    <row r="1160" spans="1:4" x14ac:dyDescent="0.25">
      <c r="A1160" s="2" t="s">
        <v>893</v>
      </c>
      <c r="B1160" s="1">
        <v>12963</v>
      </c>
      <c r="C1160" t="s">
        <v>890</v>
      </c>
      <c r="D1160" t="s">
        <v>25</v>
      </c>
    </row>
    <row r="1161" spans="1:4" x14ac:dyDescent="0.25">
      <c r="A1161" s="2" t="s">
        <v>894</v>
      </c>
      <c r="B1161" s="1">
        <v>13022</v>
      </c>
      <c r="C1161" t="s">
        <v>890</v>
      </c>
      <c r="D1161" t="s">
        <v>25</v>
      </c>
    </row>
    <row r="1162" spans="1:4" x14ac:dyDescent="0.25">
      <c r="A1162" s="2" t="s">
        <v>895</v>
      </c>
      <c r="B1162" s="1">
        <v>12983</v>
      </c>
      <c r="C1162" t="s">
        <v>890</v>
      </c>
      <c r="D1162" t="s">
        <v>25</v>
      </c>
    </row>
    <row r="1163" spans="1:4" x14ac:dyDescent="0.25">
      <c r="A1163" s="2" t="s">
        <v>896</v>
      </c>
      <c r="B1163" s="1">
        <v>12983</v>
      </c>
      <c r="C1163" t="s">
        <v>890</v>
      </c>
      <c r="D1163" t="s">
        <v>25</v>
      </c>
    </row>
    <row r="1164" spans="1:4" x14ac:dyDescent="0.25">
      <c r="A1164" s="2" t="s">
        <v>897</v>
      </c>
      <c r="B1164" s="1">
        <v>12983</v>
      </c>
      <c r="C1164" t="s">
        <v>890</v>
      </c>
      <c r="D1164" t="s">
        <v>25</v>
      </c>
    </row>
    <row r="1165" spans="1:4" x14ac:dyDescent="0.25">
      <c r="A1165" s="2" t="s">
        <v>898</v>
      </c>
      <c r="B1165" s="1">
        <v>13047</v>
      </c>
      <c r="C1165" t="s">
        <v>890</v>
      </c>
      <c r="D1165" t="s">
        <v>25</v>
      </c>
    </row>
    <row r="1166" spans="1:4" x14ac:dyDescent="0.25">
      <c r="A1166" s="2" t="s">
        <v>899</v>
      </c>
      <c r="B1166" s="1">
        <v>13059</v>
      </c>
      <c r="C1166" t="s">
        <v>890</v>
      </c>
      <c r="D1166" t="s">
        <v>25</v>
      </c>
    </row>
    <row r="1167" spans="1:4" x14ac:dyDescent="0.25">
      <c r="A1167" s="2" t="s">
        <v>900</v>
      </c>
      <c r="B1167" s="1">
        <v>13164</v>
      </c>
      <c r="C1167" t="s">
        <v>890</v>
      </c>
      <c r="D1167" t="s">
        <v>25</v>
      </c>
    </row>
    <row r="1168" spans="1:4" x14ac:dyDescent="0.25">
      <c r="A1168" s="2" t="s">
        <v>901</v>
      </c>
      <c r="B1168" s="1">
        <v>13176</v>
      </c>
      <c r="C1168" t="s">
        <v>890</v>
      </c>
      <c r="D1168" t="s">
        <v>25</v>
      </c>
    </row>
    <row r="1169" spans="1:4" x14ac:dyDescent="0.25">
      <c r="A1169" s="2" t="s">
        <v>902</v>
      </c>
      <c r="B1169" s="1">
        <v>13191</v>
      </c>
      <c r="C1169" t="s">
        <v>890</v>
      </c>
      <c r="D1169" t="s">
        <v>25</v>
      </c>
    </row>
    <row r="1170" spans="1:4" x14ac:dyDescent="0.25">
      <c r="A1170" s="2" t="s">
        <v>903</v>
      </c>
      <c r="B1170" s="1">
        <v>13191</v>
      </c>
      <c r="C1170" t="s">
        <v>890</v>
      </c>
      <c r="D1170" t="s">
        <v>25</v>
      </c>
    </row>
    <row r="1171" spans="1:4" x14ac:dyDescent="0.25">
      <c r="A1171" s="2" t="s">
        <v>904</v>
      </c>
      <c r="B1171" s="1">
        <v>13191</v>
      </c>
      <c r="C1171" t="s">
        <v>890</v>
      </c>
      <c r="D1171" t="s">
        <v>25</v>
      </c>
    </row>
    <row r="1172" spans="1:4" x14ac:dyDescent="0.25">
      <c r="A1172" s="2" t="s">
        <v>905</v>
      </c>
      <c r="B1172" s="1">
        <v>13237</v>
      </c>
      <c r="C1172" t="s">
        <v>890</v>
      </c>
      <c r="D1172" t="s">
        <v>25</v>
      </c>
    </row>
    <row r="1173" spans="1:4" x14ac:dyDescent="0.25">
      <c r="A1173" s="2" t="s">
        <v>906</v>
      </c>
      <c r="B1173" s="1">
        <v>13209</v>
      </c>
      <c r="C1173" t="s">
        <v>890</v>
      </c>
      <c r="D1173" t="s">
        <v>25</v>
      </c>
    </row>
    <row r="1174" spans="1:4" x14ac:dyDescent="0.25">
      <c r="A1174" s="2" t="s">
        <v>907</v>
      </c>
      <c r="B1174" s="1">
        <v>13164</v>
      </c>
      <c r="C1174" t="s">
        <v>890</v>
      </c>
      <c r="D1174" t="s">
        <v>25</v>
      </c>
    </row>
    <row r="1175" spans="1:4" x14ac:dyDescent="0.25">
      <c r="A1175" s="2" t="s">
        <v>908</v>
      </c>
      <c r="B1175" s="1">
        <v>13008</v>
      </c>
      <c r="C1175" t="s">
        <v>890</v>
      </c>
      <c r="D1175" t="s">
        <v>25</v>
      </c>
    </row>
    <row r="1176" spans="1:4" x14ac:dyDescent="0.25">
      <c r="A1176" s="2" t="s">
        <v>909</v>
      </c>
      <c r="B1176" s="1">
        <v>13075</v>
      </c>
      <c r="C1176" t="s">
        <v>890</v>
      </c>
      <c r="D1176" t="s">
        <v>25</v>
      </c>
    </row>
    <row r="1177" spans="1:4" x14ac:dyDescent="0.25">
      <c r="A1177" s="2" t="s">
        <v>910</v>
      </c>
      <c r="B1177" s="1">
        <v>13075</v>
      </c>
      <c r="C1177" t="s">
        <v>890</v>
      </c>
      <c r="D1177" t="s">
        <v>25</v>
      </c>
    </row>
    <row r="1178" spans="1:4" x14ac:dyDescent="0.25">
      <c r="A1178" s="2" t="s">
        <v>911</v>
      </c>
      <c r="B1178" s="1">
        <v>13075</v>
      </c>
      <c r="C1178" t="s">
        <v>890</v>
      </c>
      <c r="D1178" t="s">
        <v>25</v>
      </c>
    </row>
    <row r="1179" spans="1:4" x14ac:dyDescent="0.25">
      <c r="A1179" s="2" t="s">
        <v>912</v>
      </c>
      <c r="B1179" s="1">
        <v>13076</v>
      </c>
      <c r="C1179" t="s">
        <v>890</v>
      </c>
      <c r="D1179" t="s">
        <v>25</v>
      </c>
    </row>
    <row r="1180" spans="1:4" x14ac:dyDescent="0.25">
      <c r="A1180" s="2" t="s">
        <v>913</v>
      </c>
      <c r="B1180" s="1">
        <v>12972</v>
      </c>
      <c r="C1180" t="s">
        <v>890</v>
      </c>
      <c r="D1180" t="s">
        <v>25</v>
      </c>
    </row>
    <row r="1181" spans="1:4" x14ac:dyDescent="0.25">
      <c r="A1181" s="2" t="s">
        <v>914</v>
      </c>
      <c r="B1181" s="1">
        <v>12932</v>
      </c>
      <c r="C1181" t="s">
        <v>890</v>
      </c>
      <c r="D1181" t="s">
        <v>25</v>
      </c>
    </row>
    <row r="1182" spans="1:4" x14ac:dyDescent="0.25">
      <c r="A1182" s="2" t="s">
        <v>915</v>
      </c>
      <c r="B1182" s="1">
        <v>13003</v>
      </c>
      <c r="C1182" t="s">
        <v>890</v>
      </c>
      <c r="D1182" t="s">
        <v>25</v>
      </c>
    </row>
    <row r="1183" spans="1:4" x14ac:dyDescent="0.25">
      <c r="A1183" s="2" t="s">
        <v>916</v>
      </c>
      <c r="B1183" s="1">
        <v>13064</v>
      </c>
      <c r="C1183" t="s">
        <v>890</v>
      </c>
      <c r="D1183" t="s">
        <v>25</v>
      </c>
    </row>
    <row r="1184" spans="1:4" x14ac:dyDescent="0.25">
      <c r="A1184" s="2" t="s">
        <v>917</v>
      </c>
      <c r="B1184" s="1">
        <v>13064</v>
      </c>
      <c r="C1184" t="s">
        <v>890</v>
      </c>
      <c r="D1184" t="s">
        <v>25</v>
      </c>
    </row>
    <row r="1185" spans="1:4" x14ac:dyDescent="0.25">
      <c r="A1185" s="2" t="s">
        <v>918</v>
      </c>
      <c r="B1185" s="1">
        <v>13064</v>
      </c>
      <c r="C1185" t="s">
        <v>890</v>
      </c>
      <c r="D1185" t="s">
        <v>25</v>
      </c>
    </row>
    <row r="1186" spans="1:4" x14ac:dyDescent="0.25">
      <c r="A1186" s="2" t="s">
        <v>919</v>
      </c>
      <c r="B1186" s="1">
        <v>13086</v>
      </c>
      <c r="C1186" t="s">
        <v>890</v>
      </c>
      <c r="D1186" t="s">
        <v>25</v>
      </c>
    </row>
    <row r="1187" spans="1:4" x14ac:dyDescent="0.25">
      <c r="A1187" s="2" t="s">
        <v>920</v>
      </c>
      <c r="B1187" s="1">
        <v>13084</v>
      </c>
      <c r="C1187" t="s">
        <v>890</v>
      </c>
      <c r="D1187" t="s">
        <v>25</v>
      </c>
    </row>
    <row r="1188" spans="1:4" x14ac:dyDescent="0.25">
      <c r="A1188" s="2" t="s">
        <v>921</v>
      </c>
      <c r="B1188" s="1">
        <v>13043</v>
      </c>
      <c r="C1188" t="s">
        <v>922</v>
      </c>
      <c r="D1188" t="s">
        <v>26</v>
      </c>
    </row>
    <row r="1189" spans="1:4" x14ac:dyDescent="0.25">
      <c r="A1189" s="2" t="s">
        <v>923</v>
      </c>
      <c r="B1189" s="1">
        <v>13000</v>
      </c>
      <c r="C1189" t="s">
        <v>922</v>
      </c>
      <c r="D1189" t="s">
        <v>26</v>
      </c>
    </row>
    <row r="1190" spans="1:4" x14ac:dyDescent="0.25">
      <c r="A1190" s="2" t="s">
        <v>924</v>
      </c>
      <c r="B1190" s="1">
        <v>13000</v>
      </c>
      <c r="C1190" t="s">
        <v>922</v>
      </c>
      <c r="D1190" t="s">
        <v>26</v>
      </c>
    </row>
    <row r="1191" spans="1:4" x14ac:dyDescent="0.25">
      <c r="A1191" s="2" t="s">
        <v>925</v>
      </c>
      <c r="B1191" s="1">
        <v>13000</v>
      </c>
      <c r="C1191" t="s">
        <v>922</v>
      </c>
      <c r="D1191" t="s">
        <v>26</v>
      </c>
    </row>
    <row r="1192" spans="1:4" x14ac:dyDescent="0.25">
      <c r="A1192" s="2" t="s">
        <v>926</v>
      </c>
      <c r="B1192" s="1">
        <v>13000</v>
      </c>
      <c r="C1192" t="s">
        <v>922</v>
      </c>
      <c r="D1192" t="s">
        <v>26</v>
      </c>
    </row>
    <row r="1193" spans="1:4" x14ac:dyDescent="0.25">
      <c r="A1193" s="2" t="s">
        <v>927</v>
      </c>
      <c r="B1193" s="1">
        <v>12942</v>
      </c>
      <c r="C1193" t="s">
        <v>922</v>
      </c>
      <c r="D1193" t="s">
        <v>26</v>
      </c>
    </row>
    <row r="1194" spans="1:4" x14ac:dyDescent="0.25">
      <c r="A1194" s="2" t="s">
        <v>928</v>
      </c>
      <c r="B1194" s="1">
        <v>12982</v>
      </c>
      <c r="C1194" t="s">
        <v>922</v>
      </c>
      <c r="D1194" t="s">
        <v>26</v>
      </c>
    </row>
    <row r="1195" spans="1:4" x14ac:dyDescent="0.25">
      <c r="A1195" s="2" t="s">
        <v>929</v>
      </c>
      <c r="B1195" s="1">
        <v>13002</v>
      </c>
      <c r="C1195" t="s">
        <v>922</v>
      </c>
      <c r="D1195" t="s">
        <v>26</v>
      </c>
    </row>
    <row r="1196" spans="1:4" x14ac:dyDescent="0.25">
      <c r="A1196" s="2" t="s">
        <v>930</v>
      </c>
      <c r="B1196" s="1">
        <v>12973</v>
      </c>
      <c r="C1196" t="s">
        <v>922</v>
      </c>
      <c r="D1196" t="s">
        <v>26</v>
      </c>
    </row>
    <row r="1197" spans="1:4" x14ac:dyDescent="0.25">
      <c r="A1197" s="2" t="s">
        <v>931</v>
      </c>
      <c r="B1197" s="1">
        <v>12910</v>
      </c>
      <c r="C1197" t="s">
        <v>922</v>
      </c>
      <c r="D1197" t="s">
        <v>26</v>
      </c>
    </row>
    <row r="1198" spans="1:4" x14ac:dyDescent="0.25">
      <c r="A1198" s="2" t="s">
        <v>932</v>
      </c>
      <c r="B1198" s="1">
        <v>12910</v>
      </c>
      <c r="C1198" t="s">
        <v>922</v>
      </c>
      <c r="D1198" t="s">
        <v>26</v>
      </c>
    </row>
    <row r="1199" spans="1:4" x14ac:dyDescent="0.25">
      <c r="A1199" s="2" t="s">
        <v>933</v>
      </c>
      <c r="B1199" s="1">
        <v>12910</v>
      </c>
      <c r="C1199" t="s">
        <v>922</v>
      </c>
      <c r="D1199" t="s">
        <v>26</v>
      </c>
    </row>
    <row r="1200" spans="1:4" x14ac:dyDescent="0.25">
      <c r="A1200" s="2" t="s">
        <v>934</v>
      </c>
      <c r="B1200" s="1">
        <v>12945</v>
      </c>
      <c r="C1200" t="s">
        <v>922</v>
      </c>
      <c r="D1200" t="s">
        <v>26</v>
      </c>
    </row>
    <row r="1201" spans="1:4" x14ac:dyDescent="0.25">
      <c r="A1201" s="2" t="s">
        <v>935</v>
      </c>
      <c r="B1201" s="1">
        <v>12979</v>
      </c>
      <c r="C1201" t="s">
        <v>922</v>
      </c>
      <c r="D1201" t="s">
        <v>26</v>
      </c>
    </row>
    <row r="1202" spans="1:4" x14ac:dyDescent="0.25">
      <c r="A1202" s="2" t="s">
        <v>936</v>
      </c>
      <c r="B1202" s="1">
        <v>12976</v>
      </c>
      <c r="C1202" t="s">
        <v>922</v>
      </c>
      <c r="D1202" t="s">
        <v>26</v>
      </c>
    </row>
    <row r="1203" spans="1:4" x14ac:dyDescent="0.25">
      <c r="A1203" s="2" t="s">
        <v>937</v>
      </c>
      <c r="B1203" s="1">
        <v>12838</v>
      </c>
      <c r="C1203" t="s">
        <v>922</v>
      </c>
      <c r="D1203" t="s">
        <v>26</v>
      </c>
    </row>
    <row r="1204" spans="1:4" x14ac:dyDescent="0.25">
      <c r="A1204" s="2" t="s">
        <v>938</v>
      </c>
      <c r="B1204" s="1">
        <v>12863</v>
      </c>
      <c r="C1204" t="s">
        <v>922</v>
      </c>
      <c r="D1204" t="s">
        <v>26</v>
      </c>
    </row>
    <row r="1205" spans="1:4" x14ac:dyDescent="0.25">
      <c r="A1205" s="2" t="s">
        <v>939</v>
      </c>
      <c r="B1205" s="1">
        <v>12863</v>
      </c>
      <c r="C1205" t="s">
        <v>922</v>
      </c>
      <c r="D1205" t="s">
        <v>26</v>
      </c>
    </row>
    <row r="1206" spans="1:4" x14ac:dyDescent="0.25">
      <c r="A1206" s="2" t="s">
        <v>940</v>
      </c>
      <c r="B1206" s="1">
        <v>12863</v>
      </c>
      <c r="C1206" t="s">
        <v>922</v>
      </c>
      <c r="D1206" t="s">
        <v>26</v>
      </c>
    </row>
    <row r="1207" spans="1:4" x14ac:dyDescent="0.25">
      <c r="A1207" s="2" t="s">
        <v>941</v>
      </c>
      <c r="B1207" s="1">
        <v>12875</v>
      </c>
      <c r="C1207" t="s">
        <v>922</v>
      </c>
      <c r="D1207" t="s">
        <v>26</v>
      </c>
    </row>
    <row r="1208" spans="1:4" x14ac:dyDescent="0.25">
      <c r="A1208" s="2" t="s">
        <v>942</v>
      </c>
      <c r="B1208" s="1">
        <v>12942</v>
      </c>
      <c r="C1208" t="s">
        <v>922</v>
      </c>
      <c r="D1208" t="s">
        <v>26</v>
      </c>
    </row>
    <row r="1209" spans="1:4" x14ac:dyDescent="0.25">
      <c r="A1209" s="2" t="s">
        <v>943</v>
      </c>
      <c r="B1209" s="1">
        <v>12952</v>
      </c>
      <c r="C1209" t="s">
        <v>922</v>
      </c>
      <c r="D1209" t="s">
        <v>26</v>
      </c>
    </row>
    <row r="1210" spans="1:4" x14ac:dyDescent="0.25">
      <c r="A1210" s="2" t="s">
        <v>944</v>
      </c>
      <c r="B1210" s="1">
        <v>12939</v>
      </c>
      <c r="C1210" t="s">
        <v>922</v>
      </c>
      <c r="D1210" t="s">
        <v>26</v>
      </c>
    </row>
    <row r="1211" spans="1:4" x14ac:dyDescent="0.25">
      <c r="A1211" s="2" t="s">
        <v>945</v>
      </c>
      <c r="B1211" s="1">
        <v>12941</v>
      </c>
      <c r="C1211" t="s">
        <v>922</v>
      </c>
      <c r="D1211" t="s">
        <v>26</v>
      </c>
    </row>
    <row r="1212" spans="1:4" x14ac:dyDescent="0.25">
      <c r="A1212" s="2" t="s">
        <v>946</v>
      </c>
      <c r="B1212" s="1">
        <v>12941</v>
      </c>
      <c r="C1212" t="s">
        <v>922</v>
      </c>
      <c r="D1212" t="s">
        <v>26</v>
      </c>
    </row>
    <row r="1213" spans="1:4" x14ac:dyDescent="0.25">
      <c r="A1213" s="2" t="s">
        <v>947</v>
      </c>
      <c r="B1213" s="1">
        <v>12941</v>
      </c>
      <c r="C1213" t="s">
        <v>922</v>
      </c>
      <c r="D1213" t="s">
        <v>26</v>
      </c>
    </row>
    <row r="1214" spans="1:4" x14ac:dyDescent="0.25">
      <c r="A1214" s="2" t="s">
        <v>948</v>
      </c>
      <c r="B1214" s="1">
        <v>12922</v>
      </c>
      <c r="C1214" t="s">
        <v>922</v>
      </c>
      <c r="D1214" t="s">
        <v>26</v>
      </c>
    </row>
    <row r="1215" spans="1:4" x14ac:dyDescent="0.25">
      <c r="A1215" s="2" t="s">
        <v>949</v>
      </c>
      <c r="B1215" s="1">
        <v>12978</v>
      </c>
      <c r="C1215" t="s">
        <v>922</v>
      </c>
      <c r="D1215" t="s">
        <v>26</v>
      </c>
    </row>
    <row r="1216" spans="1:4" x14ac:dyDescent="0.25">
      <c r="A1216" s="2" t="s">
        <v>950</v>
      </c>
      <c r="B1216" s="1">
        <v>12964</v>
      </c>
      <c r="C1216" t="s">
        <v>922</v>
      </c>
      <c r="D1216" t="s">
        <v>26</v>
      </c>
    </row>
    <row r="1217" spans="1:4" x14ac:dyDescent="0.25">
      <c r="A1217" s="2" t="s">
        <v>951</v>
      </c>
      <c r="B1217" s="1">
        <v>12937</v>
      </c>
      <c r="C1217" t="s">
        <v>922</v>
      </c>
      <c r="D1217" t="s">
        <v>26</v>
      </c>
    </row>
    <row r="1218" spans="1:4" x14ac:dyDescent="0.25">
      <c r="A1218" s="2" t="s">
        <v>952</v>
      </c>
      <c r="B1218" s="1">
        <v>12937</v>
      </c>
      <c r="C1218" t="s">
        <v>953</v>
      </c>
      <c r="D1218" t="s">
        <v>26</v>
      </c>
    </row>
    <row r="1219" spans="1:4" x14ac:dyDescent="0.25">
      <c r="A1219" s="2" t="s">
        <v>954</v>
      </c>
      <c r="B1219" s="1">
        <v>12937</v>
      </c>
      <c r="C1219" t="s">
        <v>953</v>
      </c>
      <c r="D1219" t="s">
        <v>26</v>
      </c>
    </row>
    <row r="1220" spans="1:4" x14ac:dyDescent="0.25">
      <c r="A1220" s="2" t="s">
        <v>955</v>
      </c>
      <c r="B1220" s="1">
        <v>12937</v>
      </c>
      <c r="C1220" t="s">
        <v>953</v>
      </c>
      <c r="D1220" t="s">
        <v>26</v>
      </c>
    </row>
    <row r="1221" spans="1:4" x14ac:dyDescent="0.25">
      <c r="A1221" s="2" t="s">
        <v>956</v>
      </c>
      <c r="B1221" s="1">
        <v>13021</v>
      </c>
      <c r="C1221" t="s">
        <v>953</v>
      </c>
      <c r="D1221" t="s">
        <v>26</v>
      </c>
    </row>
    <row r="1222" spans="1:4" x14ac:dyDescent="0.25">
      <c r="A1222" s="2" t="s">
        <v>957</v>
      </c>
      <c r="B1222" s="1">
        <v>12993</v>
      </c>
      <c r="C1222" t="s">
        <v>953</v>
      </c>
      <c r="D1222" t="s">
        <v>26</v>
      </c>
    </row>
    <row r="1223" spans="1:4" x14ac:dyDescent="0.25">
      <c r="A1223" s="2" t="s">
        <v>958</v>
      </c>
      <c r="B1223" s="1">
        <v>13040</v>
      </c>
      <c r="C1223" t="s">
        <v>953</v>
      </c>
      <c r="D1223" t="s">
        <v>26</v>
      </c>
    </row>
    <row r="1224" spans="1:4" x14ac:dyDescent="0.25">
      <c r="A1224" s="2" t="s">
        <v>959</v>
      </c>
      <c r="B1224" s="1">
        <v>13065</v>
      </c>
      <c r="C1224" t="s">
        <v>953</v>
      </c>
      <c r="D1224" t="s">
        <v>26</v>
      </c>
    </row>
    <row r="1225" spans="1:4" x14ac:dyDescent="0.25">
      <c r="A1225" s="2" t="s">
        <v>960</v>
      </c>
      <c r="B1225" s="1">
        <v>13177</v>
      </c>
      <c r="C1225" t="s">
        <v>953</v>
      </c>
      <c r="D1225" t="s">
        <v>26</v>
      </c>
    </row>
    <row r="1226" spans="1:4" x14ac:dyDescent="0.25">
      <c r="A1226" s="2" t="s">
        <v>961</v>
      </c>
      <c r="B1226" s="1">
        <v>13177</v>
      </c>
      <c r="C1226" t="s">
        <v>953</v>
      </c>
      <c r="D1226" t="s">
        <v>26</v>
      </c>
    </row>
    <row r="1227" spans="1:4" x14ac:dyDescent="0.25">
      <c r="A1227" s="2" t="s">
        <v>962</v>
      </c>
      <c r="B1227" s="1">
        <v>13177</v>
      </c>
      <c r="C1227" t="s">
        <v>953</v>
      </c>
      <c r="D1227" t="s">
        <v>26</v>
      </c>
    </row>
    <row r="1228" spans="1:4" x14ac:dyDescent="0.25">
      <c r="A1228" s="2" t="s">
        <v>963</v>
      </c>
      <c r="B1228" s="1">
        <v>13116</v>
      </c>
      <c r="C1228" t="s">
        <v>953</v>
      </c>
      <c r="D1228" t="s">
        <v>26</v>
      </c>
    </row>
    <row r="1229" spans="1:4" x14ac:dyDescent="0.25">
      <c r="A1229" s="2" t="s">
        <v>964</v>
      </c>
      <c r="B1229" s="1">
        <v>13203</v>
      </c>
      <c r="C1229" t="s">
        <v>953</v>
      </c>
      <c r="D1229" t="s">
        <v>26</v>
      </c>
    </row>
    <row r="1230" spans="1:4" x14ac:dyDescent="0.25">
      <c r="A1230" s="2" t="s">
        <v>965</v>
      </c>
      <c r="B1230" s="1">
        <v>13188</v>
      </c>
      <c r="C1230" t="s">
        <v>953</v>
      </c>
      <c r="D1230" t="s">
        <v>26</v>
      </c>
    </row>
    <row r="1231" spans="1:4" x14ac:dyDescent="0.25">
      <c r="A1231" s="2" t="s">
        <v>966</v>
      </c>
      <c r="B1231" s="1">
        <v>13188</v>
      </c>
      <c r="C1231" t="s">
        <v>953</v>
      </c>
      <c r="D1231" t="s">
        <v>26</v>
      </c>
    </row>
    <row r="1232" spans="1:4" x14ac:dyDescent="0.25">
      <c r="A1232" s="2" t="s">
        <v>967</v>
      </c>
      <c r="B1232" s="1">
        <v>13090</v>
      </c>
      <c r="C1232" t="s">
        <v>953</v>
      </c>
      <c r="D1232" t="s">
        <v>26</v>
      </c>
    </row>
    <row r="1233" spans="1:4" x14ac:dyDescent="0.25">
      <c r="A1233" s="2" t="s">
        <v>968</v>
      </c>
      <c r="B1233" s="1">
        <v>13090</v>
      </c>
      <c r="C1233" t="s">
        <v>953</v>
      </c>
      <c r="D1233" t="s">
        <v>26</v>
      </c>
    </row>
    <row r="1234" spans="1:4" x14ac:dyDescent="0.25">
      <c r="A1234" s="2" t="s">
        <v>969</v>
      </c>
      <c r="B1234" s="1">
        <v>13090</v>
      </c>
      <c r="C1234" t="s">
        <v>953</v>
      </c>
      <c r="D1234" t="s">
        <v>26</v>
      </c>
    </row>
    <row r="1235" spans="1:4" x14ac:dyDescent="0.25">
      <c r="A1235" s="2" t="s">
        <v>970</v>
      </c>
      <c r="B1235" s="1">
        <v>13116</v>
      </c>
      <c r="C1235" t="s">
        <v>953</v>
      </c>
      <c r="D1235" t="s">
        <v>26</v>
      </c>
    </row>
    <row r="1236" spans="1:4" x14ac:dyDescent="0.25">
      <c r="A1236" s="2" t="s">
        <v>971</v>
      </c>
      <c r="B1236" s="1">
        <v>13183</v>
      </c>
      <c r="C1236" t="s">
        <v>953</v>
      </c>
      <c r="D1236" t="s">
        <v>26</v>
      </c>
    </row>
    <row r="1237" spans="1:4" x14ac:dyDescent="0.25">
      <c r="A1237" s="2" t="s">
        <v>972</v>
      </c>
      <c r="B1237" s="1">
        <v>13169</v>
      </c>
      <c r="C1237" t="s">
        <v>953</v>
      </c>
      <c r="D1237" t="s">
        <v>26</v>
      </c>
    </row>
    <row r="1238" spans="1:4" x14ac:dyDescent="0.25">
      <c r="A1238" s="2" t="s">
        <v>973</v>
      </c>
      <c r="B1238" s="1">
        <v>13150</v>
      </c>
      <c r="C1238" t="s">
        <v>953</v>
      </c>
      <c r="D1238" t="s">
        <v>26</v>
      </c>
    </row>
    <row r="1239" spans="1:4" x14ac:dyDescent="0.25">
      <c r="A1239" s="2" t="s">
        <v>974</v>
      </c>
      <c r="B1239" s="1">
        <v>13136</v>
      </c>
      <c r="C1239" t="s">
        <v>953</v>
      </c>
      <c r="D1239" t="s">
        <v>26</v>
      </c>
    </row>
    <row r="1240" spans="1:4" x14ac:dyDescent="0.25">
      <c r="A1240" s="2" t="s">
        <v>975</v>
      </c>
      <c r="B1240" s="1">
        <v>13136</v>
      </c>
      <c r="C1240" t="s">
        <v>953</v>
      </c>
      <c r="D1240" t="s">
        <v>26</v>
      </c>
    </row>
    <row r="1241" spans="1:4" x14ac:dyDescent="0.25">
      <c r="A1241" s="2" t="s">
        <v>976</v>
      </c>
      <c r="B1241" s="1">
        <v>13136</v>
      </c>
      <c r="C1241" t="s">
        <v>953</v>
      </c>
      <c r="D1241" t="s">
        <v>26</v>
      </c>
    </row>
    <row r="1242" spans="1:4" x14ac:dyDescent="0.25">
      <c r="A1242" s="2" t="s">
        <v>977</v>
      </c>
      <c r="B1242" s="1">
        <v>13186</v>
      </c>
      <c r="C1242" t="s">
        <v>953</v>
      </c>
      <c r="D1242" t="s">
        <v>26</v>
      </c>
    </row>
    <row r="1243" spans="1:4" x14ac:dyDescent="0.25">
      <c r="A1243" s="2" t="s">
        <v>978</v>
      </c>
      <c r="B1243" s="1">
        <v>13192</v>
      </c>
      <c r="C1243" t="s">
        <v>953</v>
      </c>
      <c r="D1243" t="s">
        <v>26</v>
      </c>
    </row>
    <row r="1244" spans="1:4" x14ac:dyDescent="0.25">
      <c r="A1244" s="2" t="s">
        <v>979</v>
      </c>
      <c r="B1244" s="1">
        <v>13229</v>
      </c>
      <c r="C1244" t="s">
        <v>953</v>
      </c>
      <c r="D1244" t="s">
        <v>26</v>
      </c>
    </row>
    <row r="1245" spans="1:4" x14ac:dyDescent="0.25">
      <c r="A1245" s="2" t="s">
        <v>980</v>
      </c>
      <c r="B1245" s="1">
        <v>13205</v>
      </c>
      <c r="C1245" t="s">
        <v>953</v>
      </c>
      <c r="D1245" t="s">
        <v>26</v>
      </c>
    </row>
    <row r="1246" spans="1:4" x14ac:dyDescent="0.25">
      <c r="A1246" s="2" t="s">
        <v>981</v>
      </c>
      <c r="B1246" s="1">
        <v>13211</v>
      </c>
      <c r="C1246" t="s">
        <v>953</v>
      </c>
      <c r="D1246" t="s">
        <v>26</v>
      </c>
    </row>
    <row r="1247" spans="1:4" x14ac:dyDescent="0.25">
      <c r="A1247" s="2" t="s">
        <v>982</v>
      </c>
      <c r="B1247" s="1">
        <v>13211</v>
      </c>
      <c r="C1247" t="s">
        <v>953</v>
      </c>
      <c r="D1247" t="s">
        <v>26</v>
      </c>
    </row>
    <row r="1248" spans="1:4" x14ac:dyDescent="0.25">
      <c r="A1248" s="2" t="s">
        <v>983</v>
      </c>
      <c r="B1248" s="1">
        <v>13211</v>
      </c>
      <c r="C1248" t="s">
        <v>953</v>
      </c>
      <c r="D1248" t="s">
        <v>26</v>
      </c>
    </row>
    <row r="1249" spans="1:4" x14ac:dyDescent="0.25">
      <c r="A1249" s="2" t="s">
        <v>984</v>
      </c>
      <c r="B1249" s="1">
        <v>13230</v>
      </c>
      <c r="C1249" t="s">
        <v>985</v>
      </c>
      <c r="D1249" t="s">
        <v>26</v>
      </c>
    </row>
    <row r="1250" spans="1:4" x14ac:dyDescent="0.25">
      <c r="A1250" s="2" t="s">
        <v>986</v>
      </c>
      <c r="B1250" s="1">
        <v>13230</v>
      </c>
      <c r="C1250" t="s">
        <v>985</v>
      </c>
      <c r="D1250" t="s">
        <v>26</v>
      </c>
    </row>
    <row r="1251" spans="1:4" x14ac:dyDescent="0.25">
      <c r="A1251" s="2" t="s">
        <v>987</v>
      </c>
      <c r="B1251" s="1">
        <v>13196</v>
      </c>
      <c r="C1251" t="s">
        <v>985</v>
      </c>
      <c r="D1251" t="s">
        <v>26</v>
      </c>
    </row>
    <row r="1252" spans="1:4" x14ac:dyDescent="0.25">
      <c r="A1252" s="2" t="s">
        <v>988</v>
      </c>
      <c r="B1252" s="1">
        <v>13243</v>
      </c>
      <c r="C1252" t="s">
        <v>985</v>
      </c>
      <c r="D1252" t="s">
        <v>26</v>
      </c>
    </row>
    <row r="1253" spans="1:4" x14ac:dyDescent="0.25">
      <c r="A1253" s="2" t="s">
        <v>989</v>
      </c>
      <c r="B1253" s="1">
        <v>13288</v>
      </c>
      <c r="C1253" t="s">
        <v>985</v>
      </c>
      <c r="D1253" t="s">
        <v>26</v>
      </c>
    </row>
    <row r="1254" spans="1:4" x14ac:dyDescent="0.25">
      <c r="A1254" s="2" t="s">
        <v>990</v>
      </c>
      <c r="B1254" s="1">
        <v>13288</v>
      </c>
      <c r="C1254" t="s">
        <v>985</v>
      </c>
      <c r="D1254" t="s">
        <v>26</v>
      </c>
    </row>
    <row r="1255" spans="1:4" x14ac:dyDescent="0.25">
      <c r="A1255" s="2" t="s">
        <v>991</v>
      </c>
      <c r="B1255" s="1">
        <v>13288</v>
      </c>
      <c r="C1255" t="s">
        <v>985</v>
      </c>
      <c r="D1255" t="s">
        <v>26</v>
      </c>
    </row>
    <row r="1256" spans="1:4" x14ac:dyDescent="0.25">
      <c r="A1256" s="2" t="s">
        <v>992</v>
      </c>
      <c r="B1256" s="1">
        <v>13360</v>
      </c>
      <c r="C1256" t="s">
        <v>985</v>
      </c>
      <c r="D1256" t="s">
        <v>26</v>
      </c>
    </row>
    <row r="1257" spans="1:4" x14ac:dyDescent="0.25">
      <c r="A1257" s="2" t="s">
        <v>993</v>
      </c>
      <c r="B1257" s="1">
        <v>13362</v>
      </c>
      <c r="C1257" t="s">
        <v>985</v>
      </c>
      <c r="D1257" t="s">
        <v>26</v>
      </c>
    </row>
    <row r="1258" spans="1:4" x14ac:dyDescent="0.25">
      <c r="A1258" s="2" t="s">
        <v>994</v>
      </c>
      <c r="B1258" s="1">
        <v>13329</v>
      </c>
      <c r="C1258" t="s">
        <v>985</v>
      </c>
      <c r="D1258" t="s">
        <v>26</v>
      </c>
    </row>
    <row r="1259" spans="1:4" x14ac:dyDescent="0.25">
      <c r="A1259" s="2" t="s">
        <v>995</v>
      </c>
      <c r="B1259" s="1">
        <v>13292</v>
      </c>
      <c r="C1259" t="s">
        <v>985</v>
      </c>
      <c r="D1259" t="s">
        <v>26</v>
      </c>
    </row>
    <row r="1260" spans="1:4" x14ac:dyDescent="0.25">
      <c r="A1260" s="2" t="s">
        <v>996</v>
      </c>
      <c r="B1260" s="1">
        <v>13317</v>
      </c>
      <c r="C1260" t="s">
        <v>985</v>
      </c>
      <c r="D1260" t="s">
        <v>26</v>
      </c>
    </row>
    <row r="1261" spans="1:4" x14ac:dyDescent="0.25">
      <c r="A1261" s="2" t="s">
        <v>997</v>
      </c>
      <c r="B1261" s="1">
        <v>13317</v>
      </c>
      <c r="C1261" t="s">
        <v>985</v>
      </c>
      <c r="D1261" t="s">
        <v>26</v>
      </c>
    </row>
    <row r="1262" spans="1:4" x14ac:dyDescent="0.25">
      <c r="A1262" s="2" t="s">
        <v>998</v>
      </c>
      <c r="B1262" s="1">
        <v>13317</v>
      </c>
      <c r="C1262" t="s">
        <v>985</v>
      </c>
      <c r="D1262" t="s">
        <v>26</v>
      </c>
    </row>
    <row r="1263" spans="1:4" x14ac:dyDescent="0.25">
      <c r="A1263" s="2" t="s">
        <v>999</v>
      </c>
      <c r="B1263" s="1">
        <v>13333</v>
      </c>
      <c r="C1263" t="s">
        <v>985</v>
      </c>
      <c r="D1263" t="s">
        <v>26</v>
      </c>
    </row>
    <row r="1264" spans="1:4" x14ac:dyDescent="0.25">
      <c r="A1264" s="2" t="s">
        <v>1000</v>
      </c>
      <c r="B1264" s="1">
        <v>13333</v>
      </c>
      <c r="C1264" t="s">
        <v>985</v>
      </c>
      <c r="D1264" t="s">
        <v>26</v>
      </c>
    </row>
    <row r="1265" spans="1:4" x14ac:dyDescent="0.25">
      <c r="A1265" s="2" t="s">
        <v>1001</v>
      </c>
      <c r="B1265" s="1">
        <v>13367</v>
      </c>
      <c r="C1265" t="s">
        <v>985</v>
      </c>
      <c r="D1265" t="s">
        <v>26</v>
      </c>
    </row>
    <row r="1266" spans="1:4" x14ac:dyDescent="0.25">
      <c r="A1266" s="2" t="s">
        <v>1002</v>
      </c>
      <c r="B1266" s="1">
        <v>13341</v>
      </c>
      <c r="C1266" t="s">
        <v>985</v>
      </c>
      <c r="D1266" t="s">
        <v>26</v>
      </c>
    </row>
    <row r="1267" spans="1:4" x14ac:dyDescent="0.25">
      <c r="A1267" s="2" t="s">
        <v>1003</v>
      </c>
      <c r="B1267" s="1">
        <v>13324</v>
      </c>
      <c r="C1267" t="s">
        <v>985</v>
      </c>
      <c r="D1267" t="s">
        <v>26</v>
      </c>
    </row>
    <row r="1268" spans="1:4" x14ac:dyDescent="0.25">
      <c r="A1268" s="2" t="s">
        <v>1004</v>
      </c>
      <c r="B1268" s="1">
        <v>13324</v>
      </c>
      <c r="C1268" t="s">
        <v>985</v>
      </c>
      <c r="D1268" t="s">
        <v>26</v>
      </c>
    </row>
    <row r="1269" spans="1:4" x14ac:dyDescent="0.25">
      <c r="A1269" s="2" t="s">
        <v>1005</v>
      </c>
      <c r="B1269" s="1">
        <v>13324</v>
      </c>
      <c r="C1269" t="s">
        <v>985</v>
      </c>
      <c r="D1269" t="s">
        <v>26</v>
      </c>
    </row>
    <row r="1270" spans="1:4" x14ac:dyDescent="0.25">
      <c r="A1270" s="2" t="s">
        <v>1006</v>
      </c>
      <c r="B1270" s="1">
        <v>13318</v>
      </c>
      <c r="C1270" t="s">
        <v>985</v>
      </c>
      <c r="D1270" t="s">
        <v>26</v>
      </c>
    </row>
    <row r="1271" spans="1:4" x14ac:dyDescent="0.25">
      <c r="A1271" s="2" t="s">
        <v>1007</v>
      </c>
      <c r="B1271" s="1">
        <v>13316</v>
      </c>
      <c r="C1271" t="s">
        <v>985</v>
      </c>
      <c r="D1271" t="s">
        <v>26</v>
      </c>
    </row>
    <row r="1272" spans="1:4" x14ac:dyDescent="0.25">
      <c r="A1272" s="2" t="s">
        <v>1008</v>
      </c>
      <c r="B1272" s="1">
        <v>13280</v>
      </c>
      <c r="C1272" t="s">
        <v>985</v>
      </c>
      <c r="D1272" t="s">
        <v>26</v>
      </c>
    </row>
    <row r="1273" spans="1:4" x14ac:dyDescent="0.25">
      <c r="A1273" s="2" t="s">
        <v>1009</v>
      </c>
      <c r="B1273" s="1">
        <v>13323</v>
      </c>
      <c r="C1273" t="s">
        <v>985</v>
      </c>
      <c r="D1273" t="s">
        <v>26</v>
      </c>
    </row>
    <row r="1274" spans="1:4" x14ac:dyDescent="0.25">
      <c r="A1274" s="2" t="s">
        <v>1010</v>
      </c>
      <c r="B1274" s="1">
        <v>13338</v>
      </c>
      <c r="C1274" t="s">
        <v>985</v>
      </c>
      <c r="D1274" t="s">
        <v>26</v>
      </c>
    </row>
    <row r="1275" spans="1:4" x14ac:dyDescent="0.25">
      <c r="A1275" s="2" t="s">
        <v>1011</v>
      </c>
      <c r="B1275" s="1">
        <v>13338</v>
      </c>
      <c r="C1275" t="s">
        <v>985</v>
      </c>
      <c r="D1275" t="s">
        <v>26</v>
      </c>
    </row>
    <row r="1276" spans="1:4" x14ac:dyDescent="0.25">
      <c r="A1276" s="2" t="s">
        <v>1012</v>
      </c>
      <c r="B1276" s="1">
        <v>13338</v>
      </c>
      <c r="C1276" t="s">
        <v>985</v>
      </c>
      <c r="D1276" t="s">
        <v>26</v>
      </c>
    </row>
    <row r="1277" spans="1:4" x14ac:dyDescent="0.25">
      <c r="A1277" s="2" t="s">
        <v>1013</v>
      </c>
      <c r="B1277" s="1">
        <v>13356</v>
      </c>
      <c r="C1277" t="s">
        <v>985</v>
      </c>
      <c r="D1277" t="s">
        <v>26</v>
      </c>
    </row>
    <row r="1278" spans="1:4" x14ac:dyDescent="0.25">
      <c r="A1278" s="2" t="s">
        <v>1014</v>
      </c>
      <c r="B1278" s="1">
        <v>13332</v>
      </c>
      <c r="C1278" t="s">
        <v>985</v>
      </c>
      <c r="D1278" t="s">
        <v>26</v>
      </c>
    </row>
    <row r="1279" spans="1:4" x14ac:dyDescent="0.25">
      <c r="A1279" s="2" t="s">
        <v>1015</v>
      </c>
      <c r="B1279" s="1">
        <v>13331</v>
      </c>
      <c r="C1279" t="s">
        <v>1016</v>
      </c>
      <c r="D1279" t="s">
        <v>27</v>
      </c>
    </row>
    <row r="1280" spans="1:4" x14ac:dyDescent="0.25">
      <c r="A1280" s="2" t="s">
        <v>1017</v>
      </c>
      <c r="B1280" s="1">
        <v>13337</v>
      </c>
      <c r="C1280" t="s">
        <v>1016</v>
      </c>
      <c r="D1280" t="s">
        <v>27</v>
      </c>
    </row>
    <row r="1281" spans="1:4" x14ac:dyDescent="0.25">
      <c r="A1281" s="2" t="s">
        <v>1018</v>
      </c>
      <c r="B1281" s="1">
        <v>13316</v>
      </c>
      <c r="C1281" t="s">
        <v>1016</v>
      </c>
      <c r="D1281" t="s">
        <v>27</v>
      </c>
    </row>
    <row r="1282" spans="1:4" x14ac:dyDescent="0.25">
      <c r="A1282" s="2" t="s">
        <v>1019</v>
      </c>
      <c r="B1282" s="1">
        <v>13316</v>
      </c>
      <c r="C1282" t="s">
        <v>1016</v>
      </c>
      <c r="D1282" t="s">
        <v>27</v>
      </c>
    </row>
    <row r="1283" spans="1:4" x14ac:dyDescent="0.25">
      <c r="A1283" s="2" t="s">
        <v>1020</v>
      </c>
      <c r="B1283" s="1">
        <v>13316</v>
      </c>
      <c r="C1283" t="s">
        <v>1016</v>
      </c>
      <c r="D1283" t="s">
        <v>27</v>
      </c>
    </row>
    <row r="1284" spans="1:4" x14ac:dyDescent="0.25">
      <c r="A1284" s="2" t="s">
        <v>1021</v>
      </c>
      <c r="B1284" s="1">
        <v>13353</v>
      </c>
      <c r="C1284" t="s">
        <v>1016</v>
      </c>
      <c r="D1284" t="s">
        <v>27</v>
      </c>
    </row>
    <row r="1285" spans="1:4" x14ac:dyDescent="0.25">
      <c r="A1285" s="2" t="s">
        <v>1022</v>
      </c>
      <c r="B1285" s="1">
        <v>13313</v>
      </c>
      <c r="C1285" t="s">
        <v>1016</v>
      </c>
      <c r="D1285" t="s">
        <v>27</v>
      </c>
    </row>
    <row r="1286" spans="1:4" x14ac:dyDescent="0.25">
      <c r="A1286" s="2" t="s">
        <v>1023</v>
      </c>
      <c r="B1286" s="1">
        <v>13346</v>
      </c>
      <c r="C1286" t="s">
        <v>1016</v>
      </c>
      <c r="D1286" t="s">
        <v>27</v>
      </c>
    </row>
    <row r="1287" spans="1:4" x14ac:dyDescent="0.25">
      <c r="A1287" s="2" t="s">
        <v>1024</v>
      </c>
      <c r="B1287" s="1">
        <v>13347</v>
      </c>
      <c r="C1287" t="s">
        <v>1016</v>
      </c>
      <c r="D1287" t="s">
        <v>27</v>
      </c>
    </row>
    <row r="1288" spans="1:4" x14ac:dyDescent="0.25">
      <c r="A1288" s="2" t="s">
        <v>1025</v>
      </c>
      <c r="B1288" s="1">
        <v>13304</v>
      </c>
      <c r="C1288" t="s">
        <v>1016</v>
      </c>
      <c r="D1288" t="s">
        <v>27</v>
      </c>
    </row>
    <row r="1289" spans="1:4" x14ac:dyDescent="0.25">
      <c r="A1289" s="2" t="s">
        <v>1026</v>
      </c>
      <c r="B1289" s="1">
        <v>13304</v>
      </c>
      <c r="C1289" t="s">
        <v>1016</v>
      </c>
      <c r="D1289" t="s">
        <v>27</v>
      </c>
    </row>
    <row r="1290" spans="1:4" x14ac:dyDescent="0.25">
      <c r="A1290" s="2" t="s">
        <v>1027</v>
      </c>
      <c r="B1290" s="1">
        <v>13304</v>
      </c>
      <c r="C1290" t="s">
        <v>1016</v>
      </c>
      <c r="D1290" t="s">
        <v>27</v>
      </c>
    </row>
    <row r="1291" spans="1:4" x14ac:dyDescent="0.25">
      <c r="A1291" s="2" t="s">
        <v>1028</v>
      </c>
      <c r="B1291" s="1">
        <v>13309</v>
      </c>
      <c r="C1291" t="s">
        <v>1016</v>
      </c>
      <c r="D1291" t="s">
        <v>27</v>
      </c>
    </row>
    <row r="1292" spans="1:4" x14ac:dyDescent="0.25">
      <c r="A1292" s="2" t="s">
        <v>1029</v>
      </c>
      <c r="B1292" s="1">
        <v>13320</v>
      </c>
      <c r="C1292" t="s">
        <v>1016</v>
      </c>
      <c r="D1292" t="s">
        <v>27</v>
      </c>
    </row>
    <row r="1293" spans="1:4" x14ac:dyDescent="0.25">
      <c r="A1293" s="2" t="s">
        <v>1030</v>
      </c>
      <c r="B1293" s="1">
        <v>13329</v>
      </c>
      <c r="C1293" t="s">
        <v>1016</v>
      </c>
      <c r="D1293" t="s">
        <v>27</v>
      </c>
    </row>
    <row r="1294" spans="1:4" x14ac:dyDescent="0.25">
      <c r="A1294" s="2" t="s">
        <v>1031</v>
      </c>
      <c r="B1294" s="1">
        <v>13329</v>
      </c>
      <c r="C1294" t="s">
        <v>1016</v>
      </c>
      <c r="D1294" t="s">
        <v>27</v>
      </c>
    </row>
    <row r="1295" spans="1:4" x14ac:dyDescent="0.25">
      <c r="A1295" s="2" t="s">
        <v>1032</v>
      </c>
      <c r="B1295" s="1">
        <v>13329</v>
      </c>
      <c r="C1295" t="s">
        <v>1016</v>
      </c>
      <c r="D1295" t="s">
        <v>27</v>
      </c>
    </row>
    <row r="1296" spans="1:4" x14ac:dyDescent="0.25">
      <c r="A1296" s="2" t="s">
        <v>1033</v>
      </c>
      <c r="B1296" s="1">
        <v>13329</v>
      </c>
      <c r="C1296" t="s">
        <v>1016</v>
      </c>
      <c r="D1296" t="s">
        <v>27</v>
      </c>
    </row>
    <row r="1297" spans="1:4" x14ac:dyDescent="0.25">
      <c r="A1297" s="2" t="s">
        <v>1034</v>
      </c>
      <c r="B1297" s="1">
        <v>13329</v>
      </c>
      <c r="C1297" t="s">
        <v>1016</v>
      </c>
      <c r="D1297" t="s">
        <v>27</v>
      </c>
    </row>
    <row r="1298" spans="1:4" x14ac:dyDescent="0.25">
      <c r="A1298" s="2" t="s">
        <v>1035</v>
      </c>
      <c r="B1298" s="1">
        <v>13329</v>
      </c>
      <c r="C1298" t="s">
        <v>1016</v>
      </c>
      <c r="D1298" t="s">
        <v>27</v>
      </c>
    </row>
    <row r="1299" spans="1:4" x14ac:dyDescent="0.25">
      <c r="A1299" s="2" t="s">
        <v>1036</v>
      </c>
      <c r="B1299" s="1">
        <v>13329</v>
      </c>
      <c r="C1299" t="s">
        <v>1016</v>
      </c>
      <c r="D1299" t="s">
        <v>27</v>
      </c>
    </row>
    <row r="1300" spans="1:4" x14ac:dyDescent="0.25">
      <c r="A1300" s="2" t="s">
        <v>1037</v>
      </c>
      <c r="B1300" s="1">
        <v>13368</v>
      </c>
      <c r="C1300" t="s">
        <v>1016</v>
      </c>
      <c r="D1300" t="s">
        <v>27</v>
      </c>
    </row>
    <row r="1301" spans="1:4" x14ac:dyDescent="0.25">
      <c r="A1301" s="2" t="s">
        <v>1038</v>
      </c>
      <c r="B1301" s="1">
        <v>13394</v>
      </c>
      <c r="C1301" t="s">
        <v>1016</v>
      </c>
      <c r="D1301" t="s">
        <v>27</v>
      </c>
    </row>
    <row r="1302" spans="1:4" x14ac:dyDescent="0.25">
      <c r="A1302" s="2" t="s">
        <v>1039</v>
      </c>
      <c r="B1302" s="1">
        <v>13448</v>
      </c>
      <c r="C1302" t="s">
        <v>1016</v>
      </c>
      <c r="D1302" t="s">
        <v>27</v>
      </c>
    </row>
    <row r="1303" spans="1:4" x14ac:dyDescent="0.25">
      <c r="A1303" s="2" t="s">
        <v>1040</v>
      </c>
      <c r="B1303" s="1">
        <v>13448</v>
      </c>
      <c r="C1303" t="s">
        <v>1016</v>
      </c>
      <c r="D1303" t="s">
        <v>27</v>
      </c>
    </row>
    <row r="1304" spans="1:4" x14ac:dyDescent="0.25">
      <c r="A1304" s="2" t="s">
        <v>1041</v>
      </c>
      <c r="B1304" s="1">
        <v>13448</v>
      </c>
      <c r="C1304" t="s">
        <v>1016</v>
      </c>
      <c r="D1304" t="s">
        <v>27</v>
      </c>
    </row>
    <row r="1305" spans="1:4" x14ac:dyDescent="0.25">
      <c r="A1305" s="2" t="s">
        <v>1042</v>
      </c>
      <c r="B1305" s="1">
        <v>13453</v>
      </c>
      <c r="C1305" t="s">
        <v>1016</v>
      </c>
      <c r="D1305" t="s">
        <v>27</v>
      </c>
    </row>
    <row r="1306" spans="1:4" x14ac:dyDescent="0.25">
      <c r="A1306" s="2" t="s">
        <v>1043</v>
      </c>
      <c r="B1306" s="1">
        <v>13460</v>
      </c>
      <c r="C1306" t="s">
        <v>1016</v>
      </c>
      <c r="D1306" t="s">
        <v>27</v>
      </c>
    </row>
    <row r="1307" spans="1:4" x14ac:dyDescent="0.25">
      <c r="A1307" s="2" t="s">
        <v>1044</v>
      </c>
      <c r="B1307" s="1">
        <v>13444</v>
      </c>
      <c r="C1307" t="s">
        <v>1016</v>
      </c>
      <c r="D1307" t="s">
        <v>27</v>
      </c>
    </row>
    <row r="1308" spans="1:4" x14ac:dyDescent="0.25">
      <c r="A1308" s="2" t="s">
        <v>1045</v>
      </c>
      <c r="B1308" s="1">
        <v>13468</v>
      </c>
      <c r="C1308" t="s">
        <v>1016</v>
      </c>
      <c r="D1308" t="s">
        <v>27</v>
      </c>
    </row>
    <row r="1309" spans="1:4" x14ac:dyDescent="0.25">
      <c r="A1309" s="2" t="s">
        <v>1046</v>
      </c>
      <c r="B1309" s="1">
        <v>13481</v>
      </c>
      <c r="C1309" t="s">
        <v>1016</v>
      </c>
      <c r="D1309" t="s">
        <v>27</v>
      </c>
    </row>
    <row r="1310" spans="1:4" x14ac:dyDescent="0.25">
      <c r="A1310" s="2" t="s">
        <v>1047</v>
      </c>
      <c r="B1310" s="1">
        <v>13481</v>
      </c>
      <c r="C1310" t="s">
        <v>1048</v>
      </c>
      <c r="D1310" t="s">
        <v>27</v>
      </c>
    </row>
    <row r="1311" spans="1:4" x14ac:dyDescent="0.25">
      <c r="A1311" s="2" t="s">
        <v>1049</v>
      </c>
      <c r="B1311" s="1">
        <v>13481</v>
      </c>
      <c r="C1311" t="s">
        <v>1048</v>
      </c>
      <c r="D1311" t="s">
        <v>27</v>
      </c>
    </row>
    <row r="1312" spans="1:4" x14ac:dyDescent="0.25">
      <c r="A1312" s="2" t="s">
        <v>1050</v>
      </c>
      <c r="B1312" s="1">
        <v>13492</v>
      </c>
      <c r="C1312" t="s">
        <v>1048</v>
      </c>
      <c r="D1312" t="s">
        <v>27</v>
      </c>
    </row>
    <row r="1313" spans="1:4" x14ac:dyDescent="0.25">
      <c r="A1313" s="2" t="s">
        <v>1051</v>
      </c>
      <c r="B1313" s="1">
        <v>13495</v>
      </c>
      <c r="C1313" t="s">
        <v>1048</v>
      </c>
      <c r="D1313" t="s">
        <v>27</v>
      </c>
    </row>
    <row r="1314" spans="1:4" x14ac:dyDescent="0.25">
      <c r="A1314" s="2" t="s">
        <v>1052</v>
      </c>
      <c r="B1314" s="1">
        <v>13517</v>
      </c>
      <c r="C1314" t="s">
        <v>1048</v>
      </c>
      <c r="D1314" t="s">
        <v>27</v>
      </c>
    </row>
    <row r="1315" spans="1:4" x14ac:dyDescent="0.25">
      <c r="A1315" s="2" t="s">
        <v>1053</v>
      </c>
      <c r="B1315" s="1">
        <v>13529</v>
      </c>
      <c r="C1315" t="s">
        <v>1048</v>
      </c>
      <c r="D1315" t="s">
        <v>27</v>
      </c>
    </row>
    <row r="1316" spans="1:4" x14ac:dyDescent="0.25">
      <c r="A1316" s="2" t="s">
        <v>1054</v>
      </c>
      <c r="B1316" s="1">
        <v>13536</v>
      </c>
      <c r="C1316" t="s">
        <v>1048</v>
      </c>
      <c r="D1316" t="s">
        <v>27</v>
      </c>
    </row>
    <row r="1317" spans="1:4" x14ac:dyDescent="0.25">
      <c r="A1317" s="2" t="s">
        <v>1055</v>
      </c>
      <c r="B1317" s="1">
        <v>13536</v>
      </c>
      <c r="C1317" t="s">
        <v>1048</v>
      </c>
      <c r="D1317" t="s">
        <v>27</v>
      </c>
    </row>
    <row r="1318" spans="1:4" x14ac:dyDescent="0.25">
      <c r="A1318" s="2" t="s">
        <v>1056</v>
      </c>
      <c r="B1318" s="1">
        <v>13536</v>
      </c>
      <c r="C1318" t="s">
        <v>1048</v>
      </c>
      <c r="D1318" t="s">
        <v>27</v>
      </c>
    </row>
    <row r="1319" spans="1:4" x14ac:dyDescent="0.25">
      <c r="A1319" s="2" t="s">
        <v>1057</v>
      </c>
      <c r="B1319" s="1">
        <v>13536</v>
      </c>
      <c r="C1319" t="s">
        <v>1048</v>
      </c>
      <c r="D1319" t="s">
        <v>27</v>
      </c>
    </row>
    <row r="1320" spans="1:4" x14ac:dyDescent="0.25">
      <c r="A1320" s="2" t="s">
        <v>1058</v>
      </c>
      <c r="B1320" s="1">
        <v>13541</v>
      </c>
      <c r="C1320" t="s">
        <v>1048</v>
      </c>
      <c r="D1320" t="s">
        <v>27</v>
      </c>
    </row>
    <row r="1321" spans="1:4" x14ac:dyDescent="0.25">
      <c r="A1321" s="2" t="s">
        <v>1059</v>
      </c>
      <c r="B1321" s="1">
        <v>13758</v>
      </c>
      <c r="C1321" t="s">
        <v>1048</v>
      </c>
      <c r="D1321" t="s">
        <v>27</v>
      </c>
    </row>
    <row r="1322" spans="1:4" x14ac:dyDescent="0.25">
      <c r="A1322" s="2" t="s">
        <v>1060</v>
      </c>
      <c r="B1322" s="1">
        <v>13747</v>
      </c>
      <c r="C1322" t="s">
        <v>1048</v>
      </c>
      <c r="D1322" t="s">
        <v>27</v>
      </c>
    </row>
    <row r="1323" spans="1:4" x14ac:dyDescent="0.25">
      <c r="A1323" s="2" t="s">
        <v>1061</v>
      </c>
      <c r="B1323" s="1">
        <v>13763</v>
      </c>
      <c r="C1323" t="s">
        <v>1048</v>
      </c>
      <c r="D1323" t="s">
        <v>27</v>
      </c>
    </row>
    <row r="1324" spans="1:4" x14ac:dyDescent="0.25">
      <c r="A1324" s="2" t="s">
        <v>1062</v>
      </c>
      <c r="B1324" s="1">
        <v>13763</v>
      </c>
      <c r="C1324" t="s">
        <v>1048</v>
      </c>
      <c r="D1324" t="s">
        <v>27</v>
      </c>
    </row>
    <row r="1325" spans="1:4" x14ac:dyDescent="0.25">
      <c r="A1325" s="2" t="s">
        <v>1063</v>
      </c>
      <c r="B1325" s="1">
        <v>13763</v>
      </c>
      <c r="C1325" t="s">
        <v>1048</v>
      </c>
      <c r="D1325" t="s">
        <v>27</v>
      </c>
    </row>
    <row r="1326" spans="1:4" x14ac:dyDescent="0.25">
      <c r="A1326" s="2" t="s">
        <v>1064</v>
      </c>
      <c r="B1326" s="1">
        <v>13763</v>
      </c>
      <c r="C1326" t="s">
        <v>1048</v>
      </c>
      <c r="D1326" t="s">
        <v>27</v>
      </c>
    </row>
    <row r="1327" spans="1:4" x14ac:dyDescent="0.25">
      <c r="A1327" s="2" t="s">
        <v>1065</v>
      </c>
      <c r="B1327" s="1">
        <v>13831</v>
      </c>
      <c r="C1327" t="s">
        <v>1048</v>
      </c>
      <c r="D1327" t="s">
        <v>27</v>
      </c>
    </row>
    <row r="1328" spans="1:4" x14ac:dyDescent="0.25">
      <c r="A1328" s="2" t="s">
        <v>1066</v>
      </c>
      <c r="B1328" s="1">
        <v>13824</v>
      </c>
      <c r="C1328" t="s">
        <v>1048</v>
      </c>
      <c r="D1328" t="s">
        <v>27</v>
      </c>
    </row>
    <row r="1329" spans="1:4" x14ac:dyDescent="0.25">
      <c r="A1329" s="2" t="s">
        <v>1067</v>
      </c>
      <c r="B1329" s="1">
        <v>13838</v>
      </c>
      <c r="C1329" t="s">
        <v>1048</v>
      </c>
      <c r="D1329" t="s">
        <v>27</v>
      </c>
    </row>
    <row r="1330" spans="1:4" x14ac:dyDescent="0.25">
      <c r="A1330" s="2" t="s">
        <v>1068</v>
      </c>
      <c r="B1330" s="1">
        <v>13895</v>
      </c>
      <c r="C1330" t="s">
        <v>1048</v>
      </c>
      <c r="D1330" t="s">
        <v>27</v>
      </c>
    </row>
    <row r="1331" spans="1:4" x14ac:dyDescent="0.25">
      <c r="A1331" s="2" t="s">
        <v>1069</v>
      </c>
      <c r="B1331" s="1">
        <v>13895</v>
      </c>
      <c r="C1331" t="s">
        <v>1048</v>
      </c>
      <c r="D1331" t="s">
        <v>27</v>
      </c>
    </row>
    <row r="1332" spans="1:4" x14ac:dyDescent="0.25">
      <c r="A1332" s="2" t="s">
        <v>1070</v>
      </c>
      <c r="B1332" s="1">
        <v>13895</v>
      </c>
      <c r="C1332" t="s">
        <v>1048</v>
      </c>
      <c r="D1332" t="s">
        <v>27</v>
      </c>
    </row>
    <row r="1333" spans="1:4" x14ac:dyDescent="0.25">
      <c r="A1333" s="2" t="s">
        <v>1071</v>
      </c>
      <c r="B1333" s="1">
        <v>13998</v>
      </c>
      <c r="C1333" t="s">
        <v>1048</v>
      </c>
      <c r="D1333" t="s">
        <v>27</v>
      </c>
    </row>
    <row r="1334" spans="1:4" x14ac:dyDescent="0.25">
      <c r="A1334" s="2" t="s">
        <v>1072</v>
      </c>
      <c r="B1334" s="1">
        <v>14067</v>
      </c>
      <c r="C1334" t="s">
        <v>1048</v>
      </c>
      <c r="D1334" t="s">
        <v>27</v>
      </c>
    </row>
    <row r="1335" spans="1:4" x14ac:dyDescent="0.25">
      <c r="A1335" s="2" t="s">
        <v>1073</v>
      </c>
      <c r="B1335" s="1">
        <v>14102</v>
      </c>
      <c r="C1335" t="s">
        <v>1048</v>
      </c>
      <c r="D1335" t="s">
        <v>27</v>
      </c>
    </row>
    <row r="1336" spans="1:4" x14ac:dyDescent="0.25">
      <c r="A1336" s="2" t="s">
        <v>1074</v>
      </c>
      <c r="B1336" s="1">
        <v>14128</v>
      </c>
      <c r="C1336" t="s">
        <v>1048</v>
      </c>
      <c r="D1336" t="s">
        <v>27</v>
      </c>
    </row>
    <row r="1337" spans="1:4" x14ac:dyDescent="0.25">
      <c r="A1337" s="2" t="s">
        <v>1075</v>
      </c>
      <c r="B1337" s="1">
        <v>14011</v>
      </c>
      <c r="C1337" t="s">
        <v>1048</v>
      </c>
      <c r="D1337" t="s">
        <v>27</v>
      </c>
    </row>
    <row r="1338" spans="1:4" x14ac:dyDescent="0.25">
      <c r="A1338" s="2" t="s">
        <v>1076</v>
      </c>
      <c r="B1338" s="1">
        <v>14011</v>
      </c>
      <c r="C1338" t="s">
        <v>1048</v>
      </c>
      <c r="D1338" t="s">
        <v>27</v>
      </c>
    </row>
    <row r="1339" spans="1:4" x14ac:dyDescent="0.25">
      <c r="A1339" s="2" t="s">
        <v>1077</v>
      </c>
      <c r="B1339" s="1">
        <v>14011</v>
      </c>
      <c r="C1339" t="s">
        <v>1048</v>
      </c>
      <c r="D1339" t="s">
        <v>27</v>
      </c>
    </row>
    <row r="1340" spans="1:4" x14ac:dyDescent="0.25">
      <c r="A1340" s="2" t="s">
        <v>1078</v>
      </c>
      <c r="B1340" s="1">
        <v>14027</v>
      </c>
      <c r="C1340" t="s">
        <v>1048</v>
      </c>
      <c r="D1340" t="s">
        <v>27</v>
      </c>
    </row>
    <row r="1341" spans="1:4" x14ac:dyDescent="0.25">
      <c r="A1341" s="2" t="s">
        <v>1079</v>
      </c>
      <c r="B1341" s="1">
        <v>14081</v>
      </c>
      <c r="C1341" t="s">
        <v>1080</v>
      </c>
      <c r="D1341" t="s">
        <v>27</v>
      </c>
    </row>
    <row r="1342" spans="1:4" x14ac:dyDescent="0.25">
      <c r="A1342" s="2" t="s">
        <v>1081</v>
      </c>
      <c r="B1342" s="1">
        <v>14127</v>
      </c>
      <c r="C1342" t="s">
        <v>1080</v>
      </c>
      <c r="D1342" t="s">
        <v>27</v>
      </c>
    </row>
    <row r="1343" spans="1:4" x14ac:dyDescent="0.25">
      <c r="A1343" s="2" t="s">
        <v>1082</v>
      </c>
      <c r="B1343" s="1">
        <v>14160</v>
      </c>
      <c r="C1343" t="s">
        <v>1080</v>
      </c>
      <c r="D1343" t="s">
        <v>27</v>
      </c>
    </row>
    <row r="1344" spans="1:4" x14ac:dyDescent="0.25">
      <c r="A1344" s="2" t="s">
        <v>1083</v>
      </c>
      <c r="B1344" s="1">
        <v>14178</v>
      </c>
      <c r="C1344" t="s">
        <v>1080</v>
      </c>
      <c r="D1344" t="s">
        <v>27</v>
      </c>
    </row>
    <row r="1345" spans="1:4" x14ac:dyDescent="0.25">
      <c r="A1345" s="2" t="s">
        <v>1084</v>
      </c>
      <c r="B1345" s="1">
        <v>14178</v>
      </c>
      <c r="C1345" t="s">
        <v>1080</v>
      </c>
      <c r="D1345" t="s">
        <v>27</v>
      </c>
    </row>
    <row r="1346" spans="1:4" x14ac:dyDescent="0.25">
      <c r="A1346" s="2" t="s">
        <v>1085</v>
      </c>
      <c r="B1346" s="1">
        <v>14178</v>
      </c>
      <c r="C1346" t="s">
        <v>1080</v>
      </c>
      <c r="D1346" t="s">
        <v>27</v>
      </c>
    </row>
    <row r="1347" spans="1:4" x14ac:dyDescent="0.25">
      <c r="A1347" s="2" t="s">
        <v>1086</v>
      </c>
      <c r="B1347" s="1">
        <v>14234</v>
      </c>
      <c r="C1347" t="s">
        <v>1080</v>
      </c>
      <c r="D1347" t="s">
        <v>27</v>
      </c>
    </row>
    <row r="1348" spans="1:4" x14ac:dyDescent="0.25">
      <c r="A1348" s="2" t="s">
        <v>1087</v>
      </c>
      <c r="B1348" s="1">
        <v>14285</v>
      </c>
      <c r="C1348" t="s">
        <v>1080</v>
      </c>
      <c r="D1348" t="s">
        <v>27</v>
      </c>
    </row>
    <row r="1349" spans="1:4" x14ac:dyDescent="0.25">
      <c r="A1349" s="2" t="s">
        <v>1088</v>
      </c>
      <c r="B1349" s="1">
        <v>14244</v>
      </c>
      <c r="C1349" t="s">
        <v>1080</v>
      </c>
      <c r="D1349" t="s">
        <v>27</v>
      </c>
    </row>
    <row r="1350" spans="1:4" x14ac:dyDescent="0.25">
      <c r="A1350" s="2" t="s">
        <v>1089</v>
      </c>
      <c r="B1350" s="1">
        <v>14322</v>
      </c>
      <c r="C1350" t="s">
        <v>1080</v>
      </c>
      <c r="D1350" t="s">
        <v>27</v>
      </c>
    </row>
    <row r="1351" spans="1:4" x14ac:dyDescent="0.25">
      <c r="A1351" s="2" t="s">
        <v>1090</v>
      </c>
      <c r="B1351" s="1">
        <v>14306</v>
      </c>
      <c r="C1351" t="s">
        <v>1080</v>
      </c>
      <c r="D1351" t="s">
        <v>27</v>
      </c>
    </row>
    <row r="1352" spans="1:4" x14ac:dyDescent="0.25">
      <c r="A1352" s="2" t="s">
        <v>1091</v>
      </c>
      <c r="B1352" s="1">
        <v>14306</v>
      </c>
      <c r="C1352" t="s">
        <v>1080</v>
      </c>
      <c r="D1352" t="s">
        <v>27</v>
      </c>
    </row>
    <row r="1353" spans="1:4" x14ac:dyDescent="0.25">
      <c r="A1353" s="2" t="s">
        <v>1092</v>
      </c>
      <c r="B1353" s="1">
        <v>14306</v>
      </c>
      <c r="C1353" t="s">
        <v>1080</v>
      </c>
      <c r="D1353" t="s">
        <v>27</v>
      </c>
    </row>
    <row r="1354" spans="1:4" x14ac:dyDescent="0.25">
      <c r="A1354" s="2" t="s">
        <v>1093</v>
      </c>
      <c r="B1354" s="1">
        <v>14322</v>
      </c>
      <c r="C1354" t="s">
        <v>1080</v>
      </c>
      <c r="D1354" t="s">
        <v>27</v>
      </c>
    </row>
    <row r="1355" spans="1:4" x14ac:dyDescent="0.25">
      <c r="A1355" s="2" t="s">
        <v>1094</v>
      </c>
      <c r="B1355" s="1">
        <v>14371</v>
      </c>
      <c r="C1355" t="s">
        <v>1080</v>
      </c>
      <c r="D1355" t="s">
        <v>27</v>
      </c>
    </row>
    <row r="1356" spans="1:4" x14ac:dyDescent="0.25">
      <c r="A1356" s="2" t="s">
        <v>1095</v>
      </c>
      <c r="B1356" s="1">
        <v>14442</v>
      </c>
      <c r="C1356" t="s">
        <v>1080</v>
      </c>
      <c r="D1356" t="s">
        <v>27</v>
      </c>
    </row>
    <row r="1357" spans="1:4" x14ac:dyDescent="0.25">
      <c r="A1357" s="2" t="s">
        <v>1096</v>
      </c>
      <c r="B1357" s="1">
        <v>14452</v>
      </c>
      <c r="C1357" t="s">
        <v>1080</v>
      </c>
      <c r="D1357" t="s">
        <v>27</v>
      </c>
    </row>
    <row r="1358" spans="1:4" x14ac:dyDescent="0.25">
      <c r="A1358" s="2" t="s">
        <v>1097</v>
      </c>
      <c r="B1358" s="1">
        <v>14463</v>
      </c>
      <c r="C1358" t="s">
        <v>1080</v>
      </c>
      <c r="D1358" t="s">
        <v>27</v>
      </c>
    </row>
    <row r="1359" spans="1:4" x14ac:dyDescent="0.25">
      <c r="A1359" s="2" t="s">
        <v>1098</v>
      </c>
      <c r="B1359" s="1">
        <v>14463</v>
      </c>
      <c r="C1359" t="s">
        <v>1080</v>
      </c>
      <c r="D1359" t="s">
        <v>27</v>
      </c>
    </row>
    <row r="1360" spans="1:4" x14ac:dyDescent="0.25">
      <c r="A1360" s="2" t="s">
        <v>1099</v>
      </c>
      <c r="B1360" s="1">
        <v>14463</v>
      </c>
      <c r="C1360" t="s">
        <v>1080</v>
      </c>
      <c r="D1360" t="s">
        <v>27</v>
      </c>
    </row>
    <row r="1361" spans="1:4" x14ac:dyDescent="0.25">
      <c r="A1361" s="2" t="s">
        <v>1100</v>
      </c>
      <c r="B1361" s="1">
        <v>14451</v>
      </c>
      <c r="C1361" t="s">
        <v>1080</v>
      </c>
      <c r="D1361" t="s">
        <v>27</v>
      </c>
    </row>
    <row r="1362" spans="1:4" x14ac:dyDescent="0.25">
      <c r="A1362" s="2" t="s">
        <v>1101</v>
      </c>
      <c r="B1362" s="1">
        <v>14486</v>
      </c>
      <c r="C1362" t="s">
        <v>1080</v>
      </c>
      <c r="D1362" t="s">
        <v>27</v>
      </c>
    </row>
    <row r="1363" spans="1:4" x14ac:dyDescent="0.25">
      <c r="A1363" s="2" t="s">
        <v>1102</v>
      </c>
      <c r="B1363" s="1">
        <v>14623</v>
      </c>
      <c r="C1363" t="s">
        <v>1080</v>
      </c>
      <c r="D1363" t="s">
        <v>27</v>
      </c>
    </row>
    <row r="1364" spans="1:4" x14ac:dyDescent="0.25">
      <c r="A1364" s="2" t="s">
        <v>1103</v>
      </c>
      <c r="B1364" s="1">
        <v>14623</v>
      </c>
      <c r="C1364" t="s">
        <v>1080</v>
      </c>
      <c r="D1364" t="s">
        <v>27</v>
      </c>
    </row>
    <row r="1365" spans="1:4" x14ac:dyDescent="0.25">
      <c r="A1365" s="2" t="s">
        <v>1104</v>
      </c>
      <c r="B1365" s="1">
        <v>14690</v>
      </c>
      <c r="C1365" t="s">
        <v>1080</v>
      </c>
      <c r="D1365" t="s">
        <v>27</v>
      </c>
    </row>
    <row r="1366" spans="1:4" x14ac:dyDescent="0.25">
      <c r="A1366" s="2" t="s">
        <v>1105</v>
      </c>
      <c r="B1366" s="1">
        <v>14690</v>
      </c>
      <c r="C1366" t="s">
        <v>1080</v>
      </c>
      <c r="D1366" t="s">
        <v>27</v>
      </c>
    </row>
    <row r="1367" spans="1:4" x14ac:dyDescent="0.25">
      <c r="A1367" s="2" t="s">
        <v>1106</v>
      </c>
      <c r="B1367" s="1">
        <v>14690</v>
      </c>
      <c r="C1367" t="s">
        <v>1080</v>
      </c>
      <c r="D1367" t="s">
        <v>27</v>
      </c>
    </row>
    <row r="1368" spans="1:4" x14ac:dyDescent="0.25">
      <c r="A1368" s="2" t="s">
        <v>1107</v>
      </c>
      <c r="B1368" s="1">
        <v>14696</v>
      </c>
      <c r="C1368" t="s">
        <v>1080</v>
      </c>
      <c r="D1368" t="s">
        <v>27</v>
      </c>
    </row>
    <row r="1369" spans="1:4" x14ac:dyDescent="0.25">
      <c r="A1369" s="2" t="s">
        <v>1108</v>
      </c>
      <c r="B1369" s="1">
        <v>14728</v>
      </c>
      <c r="C1369" t="s">
        <v>1080</v>
      </c>
      <c r="D1369" t="s">
        <v>27</v>
      </c>
    </row>
    <row r="1370" spans="1:4" x14ac:dyDescent="0.25">
      <c r="A1370" s="2" t="s">
        <v>1109</v>
      </c>
      <c r="B1370" s="1">
        <v>14657</v>
      </c>
      <c r="C1370" t="s">
        <v>1080</v>
      </c>
      <c r="D1370" t="s">
        <v>27</v>
      </c>
    </row>
    <row r="1371" spans="1:4" x14ac:dyDescent="0.25">
      <c r="A1371" s="2" t="s">
        <v>1110</v>
      </c>
      <c r="B1371" s="1">
        <v>14654</v>
      </c>
      <c r="C1371" t="s">
        <v>1111</v>
      </c>
      <c r="D1371" t="s">
        <v>28</v>
      </c>
    </row>
    <row r="1372" spans="1:4" x14ac:dyDescent="0.25">
      <c r="A1372" s="2" t="s">
        <v>1112</v>
      </c>
      <c r="B1372" s="1">
        <v>14709</v>
      </c>
      <c r="C1372" t="s">
        <v>1111</v>
      </c>
      <c r="D1372" t="s">
        <v>28</v>
      </c>
    </row>
    <row r="1373" spans="1:4" x14ac:dyDescent="0.25">
      <c r="A1373" s="2" t="s">
        <v>1113</v>
      </c>
      <c r="B1373" s="1">
        <v>14709</v>
      </c>
      <c r="C1373" t="s">
        <v>1111</v>
      </c>
      <c r="D1373" t="s">
        <v>28</v>
      </c>
    </row>
    <row r="1374" spans="1:4" x14ac:dyDescent="0.25">
      <c r="A1374" s="2" t="s">
        <v>1114</v>
      </c>
      <c r="B1374" s="1">
        <v>14709</v>
      </c>
      <c r="C1374" t="s">
        <v>1111</v>
      </c>
      <c r="D1374" t="s">
        <v>28</v>
      </c>
    </row>
    <row r="1375" spans="1:4" x14ac:dyDescent="0.25">
      <c r="A1375" s="2" t="s">
        <v>1115</v>
      </c>
      <c r="B1375" s="1">
        <v>14604</v>
      </c>
      <c r="C1375" t="s">
        <v>1111</v>
      </c>
      <c r="D1375" t="s">
        <v>28</v>
      </c>
    </row>
    <row r="1376" spans="1:4" x14ac:dyDescent="0.25">
      <c r="A1376" s="2" t="s">
        <v>1116</v>
      </c>
      <c r="B1376" s="1">
        <v>14382</v>
      </c>
      <c r="C1376" t="s">
        <v>1111</v>
      </c>
      <c r="D1376" t="s">
        <v>28</v>
      </c>
    </row>
    <row r="1377" spans="1:4" x14ac:dyDescent="0.25">
      <c r="A1377" s="2" t="s">
        <v>1117</v>
      </c>
      <c r="B1377" s="1">
        <v>14065</v>
      </c>
      <c r="C1377" t="s">
        <v>1111</v>
      </c>
      <c r="D1377" t="s">
        <v>28</v>
      </c>
    </row>
    <row r="1378" spans="1:4" x14ac:dyDescent="0.25">
      <c r="A1378" s="2" t="s">
        <v>1118</v>
      </c>
      <c r="B1378" s="1">
        <v>13809</v>
      </c>
      <c r="C1378" t="s">
        <v>1111</v>
      </c>
      <c r="D1378" t="s">
        <v>28</v>
      </c>
    </row>
    <row r="1379" spans="1:4" x14ac:dyDescent="0.25">
      <c r="A1379" s="2" t="s">
        <v>1119</v>
      </c>
      <c r="B1379" s="1">
        <v>13521</v>
      </c>
      <c r="C1379" t="s">
        <v>1111</v>
      </c>
      <c r="D1379" t="s">
        <v>28</v>
      </c>
    </row>
    <row r="1380" spans="1:4" x14ac:dyDescent="0.25">
      <c r="A1380" s="2" t="s">
        <v>1120</v>
      </c>
      <c r="B1380" s="1">
        <v>13521</v>
      </c>
      <c r="C1380" t="s">
        <v>1111</v>
      </c>
      <c r="D1380" t="s">
        <v>28</v>
      </c>
    </row>
    <row r="1381" spans="1:4" x14ac:dyDescent="0.25">
      <c r="A1381" s="2" t="s">
        <v>1121</v>
      </c>
      <c r="B1381" s="1">
        <v>13521</v>
      </c>
      <c r="C1381" t="s">
        <v>1111</v>
      </c>
      <c r="D1381" t="s">
        <v>28</v>
      </c>
    </row>
    <row r="1382" spans="1:4" x14ac:dyDescent="0.25">
      <c r="A1382" s="2" t="s">
        <v>1122</v>
      </c>
      <c r="B1382" s="1">
        <v>13466</v>
      </c>
      <c r="C1382" t="s">
        <v>1111</v>
      </c>
      <c r="D1382" t="s">
        <v>28</v>
      </c>
    </row>
    <row r="1383" spans="1:4" x14ac:dyDescent="0.25">
      <c r="A1383" s="2" t="s">
        <v>1123</v>
      </c>
      <c r="B1383" s="1">
        <v>13557</v>
      </c>
      <c r="C1383" t="s">
        <v>1111</v>
      </c>
      <c r="D1383" t="s">
        <v>28</v>
      </c>
    </row>
    <row r="1384" spans="1:4" x14ac:dyDescent="0.25">
      <c r="A1384" s="2" t="s">
        <v>1124</v>
      </c>
      <c r="B1384" s="1">
        <v>13557</v>
      </c>
      <c r="C1384" t="s">
        <v>1111</v>
      </c>
      <c r="D1384" t="s">
        <v>28</v>
      </c>
    </row>
    <row r="1385" spans="1:4" x14ac:dyDescent="0.25">
      <c r="A1385" s="2" t="s">
        <v>1125</v>
      </c>
      <c r="B1385" s="1">
        <v>13288</v>
      </c>
      <c r="C1385" t="s">
        <v>1111</v>
      </c>
      <c r="D1385" t="s">
        <v>28</v>
      </c>
    </row>
    <row r="1386" spans="1:4" x14ac:dyDescent="0.25">
      <c r="A1386" s="2" t="s">
        <v>1126</v>
      </c>
      <c r="B1386" s="1">
        <v>13534</v>
      </c>
      <c r="C1386" t="s">
        <v>1111</v>
      </c>
      <c r="D1386" t="s">
        <v>28</v>
      </c>
    </row>
    <row r="1387" spans="1:4" x14ac:dyDescent="0.25">
      <c r="A1387" s="2" t="s">
        <v>1127</v>
      </c>
      <c r="B1387" s="1">
        <v>13534</v>
      </c>
      <c r="C1387" t="s">
        <v>1111</v>
      </c>
      <c r="D1387" t="s">
        <v>28</v>
      </c>
    </row>
    <row r="1388" spans="1:4" x14ac:dyDescent="0.25">
      <c r="A1388" s="2" t="s">
        <v>1128</v>
      </c>
      <c r="B1388" s="1">
        <v>13534</v>
      </c>
      <c r="C1388" t="s">
        <v>1111</v>
      </c>
      <c r="D1388" t="s">
        <v>28</v>
      </c>
    </row>
    <row r="1389" spans="1:4" x14ac:dyDescent="0.25">
      <c r="A1389" s="2" t="s">
        <v>1129</v>
      </c>
      <c r="B1389" s="1">
        <v>13563</v>
      </c>
      <c r="C1389" t="s">
        <v>1111</v>
      </c>
      <c r="D1389" t="s">
        <v>28</v>
      </c>
    </row>
    <row r="1390" spans="1:4" x14ac:dyDescent="0.25">
      <c r="A1390" s="2" t="s">
        <v>1130</v>
      </c>
      <c r="B1390" s="1">
        <v>13634</v>
      </c>
      <c r="C1390" t="s">
        <v>1111</v>
      </c>
      <c r="D1390" t="s">
        <v>28</v>
      </c>
    </row>
    <row r="1391" spans="1:4" x14ac:dyDescent="0.25">
      <c r="A1391" s="2" t="s">
        <v>1131</v>
      </c>
      <c r="B1391" s="1">
        <v>13696</v>
      </c>
      <c r="C1391" t="s">
        <v>1111</v>
      </c>
      <c r="D1391" t="s">
        <v>28</v>
      </c>
    </row>
    <row r="1392" spans="1:4" x14ac:dyDescent="0.25">
      <c r="A1392" s="2" t="s">
        <v>1132</v>
      </c>
      <c r="B1392" s="1">
        <v>13640</v>
      </c>
      <c r="C1392" t="s">
        <v>1111</v>
      </c>
      <c r="D1392" t="s">
        <v>28</v>
      </c>
    </row>
    <row r="1393" spans="1:4" x14ac:dyDescent="0.25">
      <c r="A1393" s="2" t="s">
        <v>1133</v>
      </c>
      <c r="B1393" s="1">
        <v>13491</v>
      </c>
      <c r="C1393" t="s">
        <v>1111</v>
      </c>
      <c r="D1393" t="s">
        <v>28</v>
      </c>
    </row>
    <row r="1394" spans="1:4" x14ac:dyDescent="0.25">
      <c r="A1394" s="2" t="s">
        <v>1134</v>
      </c>
      <c r="B1394" s="1">
        <v>13491</v>
      </c>
      <c r="C1394" t="s">
        <v>1111</v>
      </c>
      <c r="D1394" t="s">
        <v>28</v>
      </c>
    </row>
    <row r="1395" spans="1:4" x14ac:dyDescent="0.25">
      <c r="A1395" s="2" t="s">
        <v>1135</v>
      </c>
      <c r="B1395" s="1">
        <v>13491</v>
      </c>
      <c r="C1395" t="s">
        <v>1111</v>
      </c>
      <c r="D1395" t="s">
        <v>28</v>
      </c>
    </row>
    <row r="1396" spans="1:4" x14ac:dyDescent="0.25">
      <c r="A1396" s="2" t="s">
        <v>1136</v>
      </c>
      <c r="B1396" s="1">
        <v>13643</v>
      </c>
      <c r="C1396" t="s">
        <v>1111</v>
      </c>
      <c r="D1396" t="s">
        <v>28</v>
      </c>
    </row>
    <row r="1397" spans="1:4" x14ac:dyDescent="0.25">
      <c r="A1397" s="2" t="s">
        <v>1137</v>
      </c>
      <c r="B1397" s="1">
        <v>13626</v>
      </c>
      <c r="C1397" t="s">
        <v>1111</v>
      </c>
      <c r="D1397" t="s">
        <v>28</v>
      </c>
    </row>
    <row r="1398" spans="1:4" x14ac:dyDescent="0.25">
      <c r="A1398" s="2" t="s">
        <v>1138</v>
      </c>
      <c r="B1398" s="1">
        <v>13630</v>
      </c>
      <c r="C1398" t="s">
        <v>1111</v>
      </c>
      <c r="D1398" t="s">
        <v>28</v>
      </c>
    </row>
    <row r="1399" spans="1:4" x14ac:dyDescent="0.25">
      <c r="A1399" s="2" t="s">
        <v>1139</v>
      </c>
      <c r="B1399" s="1">
        <v>13562</v>
      </c>
      <c r="C1399" t="s">
        <v>1111</v>
      </c>
      <c r="D1399" t="s">
        <v>28</v>
      </c>
    </row>
    <row r="1400" spans="1:4" x14ac:dyDescent="0.25">
      <c r="A1400" s="2" t="s">
        <v>1140</v>
      </c>
      <c r="B1400" s="1">
        <v>13639</v>
      </c>
      <c r="C1400" t="s">
        <v>1111</v>
      </c>
      <c r="D1400" t="s">
        <v>28</v>
      </c>
    </row>
    <row r="1401" spans="1:4" x14ac:dyDescent="0.25">
      <c r="A1401" s="2" t="s">
        <v>1141</v>
      </c>
      <c r="B1401" s="1">
        <v>13639</v>
      </c>
      <c r="C1401" t="s">
        <v>1111</v>
      </c>
      <c r="D1401" t="s">
        <v>28</v>
      </c>
    </row>
    <row r="1402" spans="1:4" x14ac:dyDescent="0.25">
      <c r="A1402" s="2" t="s">
        <v>1142</v>
      </c>
      <c r="B1402" s="1">
        <v>13639</v>
      </c>
      <c r="C1402" t="s">
        <v>1143</v>
      </c>
      <c r="D1402" t="s">
        <v>28</v>
      </c>
    </row>
    <row r="1403" spans="1:4" x14ac:dyDescent="0.25">
      <c r="A1403" s="2" t="s">
        <v>1144</v>
      </c>
      <c r="B1403" s="1">
        <v>13682</v>
      </c>
      <c r="C1403" t="s">
        <v>1143</v>
      </c>
      <c r="D1403" t="s">
        <v>28</v>
      </c>
    </row>
    <row r="1404" spans="1:4" x14ac:dyDescent="0.25">
      <c r="A1404" s="2" t="s">
        <v>1145</v>
      </c>
      <c r="B1404" s="1">
        <v>13594</v>
      </c>
      <c r="C1404" t="s">
        <v>1143</v>
      </c>
      <c r="D1404" t="s">
        <v>28</v>
      </c>
    </row>
    <row r="1405" spans="1:4" x14ac:dyDescent="0.25">
      <c r="A1405" s="2" t="s">
        <v>1146</v>
      </c>
      <c r="B1405" s="1">
        <v>13461</v>
      </c>
      <c r="C1405" t="s">
        <v>1143</v>
      </c>
      <c r="D1405" t="s">
        <v>28</v>
      </c>
    </row>
    <row r="1406" spans="1:4" x14ac:dyDescent="0.25">
      <c r="A1406" s="2" t="s">
        <v>1147</v>
      </c>
      <c r="B1406" s="1">
        <v>13603</v>
      </c>
      <c r="C1406" t="s">
        <v>1143</v>
      </c>
      <c r="D1406" t="s">
        <v>28</v>
      </c>
    </row>
    <row r="1407" spans="1:4" x14ac:dyDescent="0.25">
      <c r="A1407" s="2" t="s">
        <v>1148</v>
      </c>
      <c r="B1407" s="1">
        <v>13550</v>
      </c>
      <c r="C1407" t="s">
        <v>1143</v>
      </c>
      <c r="D1407" t="s">
        <v>28</v>
      </c>
    </row>
    <row r="1408" spans="1:4" x14ac:dyDescent="0.25">
      <c r="A1408" s="2" t="s">
        <v>1149</v>
      </c>
      <c r="B1408" s="1">
        <v>13550</v>
      </c>
      <c r="C1408" t="s">
        <v>1143</v>
      </c>
      <c r="D1408" t="s">
        <v>28</v>
      </c>
    </row>
    <row r="1409" spans="1:4" x14ac:dyDescent="0.25">
      <c r="A1409" s="2" t="s">
        <v>1150</v>
      </c>
      <c r="B1409" s="1">
        <v>13550</v>
      </c>
      <c r="C1409" t="s">
        <v>1143</v>
      </c>
      <c r="D1409" t="s">
        <v>28</v>
      </c>
    </row>
    <row r="1410" spans="1:4" x14ac:dyDescent="0.25">
      <c r="A1410" s="2" t="s">
        <v>1151</v>
      </c>
      <c r="B1410" s="1">
        <v>13687</v>
      </c>
      <c r="C1410" t="s">
        <v>1143</v>
      </c>
      <c r="D1410" t="s">
        <v>28</v>
      </c>
    </row>
    <row r="1411" spans="1:4" x14ac:dyDescent="0.25">
      <c r="A1411" s="2" t="s">
        <v>1152</v>
      </c>
      <c r="B1411" s="1">
        <v>13619</v>
      </c>
      <c r="C1411" t="s">
        <v>1143</v>
      </c>
      <c r="D1411" t="s">
        <v>28</v>
      </c>
    </row>
    <row r="1412" spans="1:4" x14ac:dyDescent="0.25">
      <c r="A1412" s="2" t="s">
        <v>1153</v>
      </c>
      <c r="B1412" s="1">
        <v>13576</v>
      </c>
      <c r="C1412" t="s">
        <v>1143</v>
      </c>
      <c r="D1412" t="s">
        <v>28</v>
      </c>
    </row>
    <row r="1413" spans="1:4" x14ac:dyDescent="0.25">
      <c r="A1413" s="2" t="s">
        <v>1154</v>
      </c>
      <c r="B1413" s="1">
        <v>13575</v>
      </c>
      <c r="C1413" t="s">
        <v>1143</v>
      </c>
      <c r="D1413" t="s">
        <v>28</v>
      </c>
    </row>
    <row r="1414" spans="1:4" x14ac:dyDescent="0.25">
      <c r="A1414" s="2" t="s">
        <v>1155</v>
      </c>
      <c r="B1414" s="1">
        <v>13633</v>
      </c>
      <c r="C1414" t="s">
        <v>1143</v>
      </c>
      <c r="D1414" t="s">
        <v>28</v>
      </c>
    </row>
    <row r="1415" spans="1:4" x14ac:dyDescent="0.25">
      <c r="A1415" s="2" t="s">
        <v>1156</v>
      </c>
      <c r="B1415" s="1">
        <v>13633</v>
      </c>
      <c r="C1415" t="s">
        <v>1143</v>
      </c>
      <c r="D1415" t="s">
        <v>28</v>
      </c>
    </row>
    <row r="1416" spans="1:4" x14ac:dyDescent="0.25">
      <c r="A1416" s="2" t="s">
        <v>1157</v>
      </c>
      <c r="B1416" s="1">
        <v>13633</v>
      </c>
      <c r="C1416" t="s">
        <v>1143</v>
      </c>
      <c r="D1416" t="s">
        <v>28</v>
      </c>
    </row>
    <row r="1417" spans="1:4" x14ac:dyDescent="0.25">
      <c r="A1417" s="2" t="s">
        <v>1158</v>
      </c>
      <c r="B1417" s="1">
        <v>13732</v>
      </c>
      <c r="C1417" t="s">
        <v>1143</v>
      </c>
      <c r="D1417" t="s">
        <v>28</v>
      </c>
    </row>
    <row r="1418" spans="1:4" x14ac:dyDescent="0.25">
      <c r="A1418" s="2" t="s">
        <v>1159</v>
      </c>
      <c r="B1418" s="1">
        <v>13711</v>
      </c>
      <c r="C1418" t="s">
        <v>1143</v>
      </c>
      <c r="D1418" t="s">
        <v>28</v>
      </c>
    </row>
    <row r="1419" spans="1:4" x14ac:dyDescent="0.25">
      <c r="A1419" s="2" t="s">
        <v>1160</v>
      </c>
      <c r="B1419" s="1">
        <v>13763</v>
      </c>
      <c r="C1419" t="s">
        <v>1143</v>
      </c>
      <c r="D1419" t="s">
        <v>28</v>
      </c>
    </row>
    <row r="1420" spans="1:4" x14ac:dyDescent="0.25">
      <c r="A1420" s="2" t="s">
        <v>1161</v>
      </c>
      <c r="B1420" s="1">
        <v>13787</v>
      </c>
      <c r="C1420" t="s">
        <v>1143</v>
      </c>
      <c r="D1420" t="s">
        <v>28</v>
      </c>
    </row>
    <row r="1421" spans="1:4" x14ac:dyDescent="0.25">
      <c r="A1421" s="2" t="s">
        <v>1162</v>
      </c>
      <c r="B1421" s="1">
        <v>13739</v>
      </c>
      <c r="C1421" t="s">
        <v>1143</v>
      </c>
      <c r="D1421" t="s">
        <v>28</v>
      </c>
    </row>
    <row r="1422" spans="1:4" x14ac:dyDescent="0.25">
      <c r="A1422" s="2" t="s">
        <v>1163</v>
      </c>
      <c r="B1422" s="1">
        <v>13739</v>
      </c>
      <c r="C1422" t="s">
        <v>1143</v>
      </c>
      <c r="D1422" t="s">
        <v>28</v>
      </c>
    </row>
    <row r="1423" spans="1:4" x14ac:dyDescent="0.25">
      <c r="A1423" s="2" t="s">
        <v>1164</v>
      </c>
      <c r="B1423" s="1">
        <v>13739</v>
      </c>
      <c r="C1423" t="s">
        <v>1143</v>
      </c>
      <c r="D1423" t="s">
        <v>28</v>
      </c>
    </row>
    <row r="1424" spans="1:4" x14ac:dyDescent="0.25">
      <c r="A1424" s="2" t="s">
        <v>1165</v>
      </c>
      <c r="B1424" s="1">
        <v>13696</v>
      </c>
      <c r="C1424" t="s">
        <v>1143</v>
      </c>
      <c r="D1424" t="s">
        <v>28</v>
      </c>
    </row>
    <row r="1425" spans="1:4" x14ac:dyDescent="0.25">
      <c r="A1425" s="2" t="s">
        <v>1166</v>
      </c>
      <c r="B1425" s="1">
        <v>13723</v>
      </c>
      <c r="C1425" t="s">
        <v>1143</v>
      </c>
      <c r="D1425" t="s">
        <v>28</v>
      </c>
    </row>
    <row r="1426" spans="1:4" x14ac:dyDescent="0.25">
      <c r="A1426" s="2" t="s">
        <v>1167</v>
      </c>
      <c r="B1426" s="1">
        <v>13673</v>
      </c>
      <c r="C1426" t="s">
        <v>1143</v>
      </c>
      <c r="D1426" t="s">
        <v>28</v>
      </c>
    </row>
    <row r="1427" spans="1:4" x14ac:dyDescent="0.25">
      <c r="A1427" s="2" t="s">
        <v>1168</v>
      </c>
      <c r="B1427" s="1">
        <v>13733</v>
      </c>
      <c r="C1427" t="s">
        <v>1143</v>
      </c>
      <c r="D1427" t="s">
        <v>28</v>
      </c>
    </row>
    <row r="1428" spans="1:4" x14ac:dyDescent="0.25">
      <c r="A1428" s="2" t="s">
        <v>1169</v>
      </c>
      <c r="B1428" s="1">
        <v>13747</v>
      </c>
      <c r="C1428" t="s">
        <v>1143</v>
      </c>
      <c r="D1428" t="s">
        <v>28</v>
      </c>
    </row>
    <row r="1429" spans="1:4" x14ac:dyDescent="0.25">
      <c r="A1429" s="2" t="s">
        <v>1170</v>
      </c>
      <c r="B1429" s="1">
        <v>13747</v>
      </c>
      <c r="C1429" t="s">
        <v>1143</v>
      </c>
      <c r="D1429" t="s">
        <v>28</v>
      </c>
    </row>
    <row r="1430" spans="1:4" x14ac:dyDescent="0.25">
      <c r="A1430" s="2" t="s">
        <v>1171</v>
      </c>
      <c r="B1430" s="1">
        <v>13747</v>
      </c>
      <c r="C1430" t="s">
        <v>1143</v>
      </c>
      <c r="D1430" t="s">
        <v>28</v>
      </c>
    </row>
    <row r="1431" spans="1:4" x14ac:dyDescent="0.25">
      <c r="A1431" s="2" t="s">
        <v>1172</v>
      </c>
      <c r="B1431" s="1">
        <v>13840</v>
      </c>
      <c r="C1431" t="s">
        <v>1143</v>
      </c>
      <c r="D1431" t="s">
        <v>28</v>
      </c>
    </row>
    <row r="1432" spans="1:4" x14ac:dyDescent="0.25">
      <c r="A1432" s="2" t="s">
        <v>1173</v>
      </c>
      <c r="B1432" s="1">
        <v>13808</v>
      </c>
      <c r="C1432" t="s">
        <v>1174</v>
      </c>
      <c r="D1432" t="s">
        <v>28</v>
      </c>
    </row>
    <row r="1433" spans="1:4" x14ac:dyDescent="0.25">
      <c r="A1433" s="2" t="s">
        <v>1175</v>
      </c>
      <c r="B1433" s="1">
        <v>13757</v>
      </c>
      <c r="C1433" t="s">
        <v>1174</v>
      </c>
      <c r="D1433" t="s">
        <v>28</v>
      </c>
    </row>
    <row r="1434" spans="1:4" x14ac:dyDescent="0.25">
      <c r="A1434" s="2" t="s">
        <v>1176</v>
      </c>
      <c r="B1434" s="1">
        <v>13845</v>
      </c>
      <c r="C1434" t="s">
        <v>1174</v>
      </c>
      <c r="D1434" t="s">
        <v>28</v>
      </c>
    </row>
    <row r="1435" spans="1:4" x14ac:dyDescent="0.25">
      <c r="A1435" s="2" t="s">
        <v>1177</v>
      </c>
      <c r="B1435" s="1">
        <v>13833</v>
      </c>
      <c r="C1435" t="s">
        <v>1174</v>
      </c>
      <c r="D1435" t="s">
        <v>28</v>
      </c>
    </row>
    <row r="1436" spans="1:4" x14ac:dyDescent="0.25">
      <c r="A1436" s="2" t="s">
        <v>1178</v>
      </c>
      <c r="B1436" s="1">
        <v>13833</v>
      </c>
      <c r="C1436" t="s">
        <v>1174</v>
      </c>
      <c r="D1436" t="s">
        <v>28</v>
      </c>
    </row>
    <row r="1437" spans="1:4" x14ac:dyDescent="0.25">
      <c r="A1437" s="2" t="s">
        <v>1179</v>
      </c>
      <c r="B1437" s="1">
        <v>13833</v>
      </c>
      <c r="C1437" t="s">
        <v>1174</v>
      </c>
      <c r="D1437" t="s">
        <v>28</v>
      </c>
    </row>
    <row r="1438" spans="1:4" x14ac:dyDescent="0.25">
      <c r="A1438" s="2" t="s">
        <v>1180</v>
      </c>
      <c r="B1438" s="1">
        <v>13837</v>
      </c>
      <c r="C1438" t="s">
        <v>1174</v>
      </c>
      <c r="D1438" t="s">
        <v>28</v>
      </c>
    </row>
    <row r="1439" spans="1:4" x14ac:dyDescent="0.25">
      <c r="A1439" s="2" t="s">
        <v>1181</v>
      </c>
      <c r="B1439" s="1">
        <v>13853</v>
      </c>
      <c r="C1439" t="s">
        <v>1174</v>
      </c>
      <c r="D1439" t="s">
        <v>28</v>
      </c>
    </row>
    <row r="1440" spans="1:4" x14ac:dyDescent="0.25">
      <c r="A1440" s="2" t="s">
        <v>1182</v>
      </c>
      <c r="B1440" s="1">
        <v>13853</v>
      </c>
      <c r="C1440" t="s">
        <v>1174</v>
      </c>
      <c r="D1440" t="s">
        <v>28</v>
      </c>
    </row>
    <row r="1441" spans="1:4" x14ac:dyDescent="0.25">
      <c r="A1441" s="2" t="s">
        <v>1183</v>
      </c>
      <c r="B1441" s="1">
        <v>13954</v>
      </c>
      <c r="C1441" t="s">
        <v>1174</v>
      </c>
      <c r="D1441" t="s">
        <v>28</v>
      </c>
    </row>
    <row r="1442" spans="1:4" x14ac:dyDescent="0.25">
      <c r="A1442" s="2" t="s">
        <v>1184</v>
      </c>
      <c r="B1442" s="1">
        <v>13937</v>
      </c>
      <c r="C1442" t="s">
        <v>1174</v>
      </c>
      <c r="D1442" t="s">
        <v>28</v>
      </c>
    </row>
    <row r="1443" spans="1:4" x14ac:dyDescent="0.25">
      <c r="A1443" s="2" t="s">
        <v>1185</v>
      </c>
      <c r="B1443" s="1">
        <v>13937</v>
      </c>
      <c r="C1443" t="s">
        <v>1174</v>
      </c>
      <c r="D1443" t="s">
        <v>28</v>
      </c>
    </row>
    <row r="1444" spans="1:4" x14ac:dyDescent="0.25">
      <c r="A1444" s="2" t="s">
        <v>1186</v>
      </c>
      <c r="B1444" s="1">
        <v>13937</v>
      </c>
      <c r="C1444" t="s">
        <v>1174</v>
      </c>
      <c r="D1444" t="s">
        <v>28</v>
      </c>
    </row>
    <row r="1445" spans="1:4" x14ac:dyDescent="0.25">
      <c r="A1445" s="2" t="s">
        <v>1187</v>
      </c>
      <c r="B1445" s="1">
        <v>14076</v>
      </c>
      <c r="C1445" t="s">
        <v>1174</v>
      </c>
      <c r="D1445" t="s">
        <v>28</v>
      </c>
    </row>
    <row r="1446" spans="1:4" x14ac:dyDescent="0.25">
      <c r="A1446" s="2" t="s">
        <v>1188</v>
      </c>
      <c r="B1446" s="1">
        <v>14065</v>
      </c>
      <c r="C1446" t="s">
        <v>1174</v>
      </c>
      <c r="D1446" t="s">
        <v>28</v>
      </c>
    </row>
    <row r="1447" spans="1:4" x14ac:dyDescent="0.25">
      <c r="A1447" s="2" t="s">
        <v>1189</v>
      </c>
      <c r="B1447" s="1">
        <v>14050</v>
      </c>
      <c r="C1447" t="s">
        <v>1174</v>
      </c>
      <c r="D1447" t="s">
        <v>28</v>
      </c>
    </row>
    <row r="1448" spans="1:4" x14ac:dyDescent="0.25">
      <c r="A1448" s="2" t="s">
        <v>1190</v>
      </c>
      <c r="B1448" s="1">
        <v>14028</v>
      </c>
      <c r="C1448" t="s">
        <v>1174</v>
      </c>
      <c r="D1448" t="s">
        <v>28</v>
      </c>
    </row>
    <row r="1449" spans="1:4" x14ac:dyDescent="0.25">
      <c r="A1449" s="2" t="s">
        <v>1191</v>
      </c>
      <c r="B1449" s="1">
        <v>14032</v>
      </c>
      <c r="C1449" t="s">
        <v>1174</v>
      </c>
      <c r="D1449" t="s">
        <v>28</v>
      </c>
    </row>
    <row r="1450" spans="1:4" x14ac:dyDescent="0.25">
      <c r="A1450" s="2" t="s">
        <v>1192</v>
      </c>
      <c r="B1450" s="1">
        <v>14032</v>
      </c>
      <c r="C1450" t="s">
        <v>1174</v>
      </c>
      <c r="D1450" t="s">
        <v>28</v>
      </c>
    </row>
    <row r="1451" spans="1:4" x14ac:dyDescent="0.25">
      <c r="A1451" s="2" t="s">
        <v>1193</v>
      </c>
      <c r="B1451" s="1">
        <v>14032</v>
      </c>
      <c r="C1451" t="s">
        <v>1174</v>
      </c>
      <c r="D1451" t="s">
        <v>28</v>
      </c>
    </row>
    <row r="1452" spans="1:4" x14ac:dyDescent="0.25">
      <c r="A1452" s="2" t="s">
        <v>1194</v>
      </c>
      <c r="B1452" s="1">
        <v>13872</v>
      </c>
      <c r="C1452" t="s">
        <v>1174</v>
      </c>
      <c r="D1452" t="s">
        <v>28</v>
      </c>
    </row>
    <row r="1453" spans="1:4" x14ac:dyDescent="0.25">
      <c r="A1453" s="2" t="s">
        <v>1195</v>
      </c>
      <c r="B1453" s="1">
        <v>13615</v>
      </c>
      <c r="C1453" t="s">
        <v>1174</v>
      </c>
      <c r="D1453" t="s">
        <v>28</v>
      </c>
    </row>
    <row r="1454" spans="1:4" x14ac:dyDescent="0.25">
      <c r="A1454" s="2" t="s">
        <v>1196</v>
      </c>
      <c r="B1454" s="1">
        <v>13644</v>
      </c>
      <c r="C1454" t="s">
        <v>1174</v>
      </c>
      <c r="D1454" t="s">
        <v>28</v>
      </c>
    </row>
    <row r="1455" spans="1:4" x14ac:dyDescent="0.25">
      <c r="A1455" s="2" t="s">
        <v>1197</v>
      </c>
      <c r="B1455" s="1">
        <v>13644</v>
      </c>
      <c r="C1455" t="s">
        <v>1174</v>
      </c>
      <c r="D1455" t="s">
        <v>28</v>
      </c>
    </row>
    <row r="1456" spans="1:4" x14ac:dyDescent="0.25">
      <c r="A1456" s="2" t="s">
        <v>1198</v>
      </c>
      <c r="B1456" s="1">
        <v>13644</v>
      </c>
      <c r="C1456" t="s">
        <v>1174</v>
      </c>
      <c r="D1456" t="s">
        <v>28</v>
      </c>
    </row>
    <row r="1457" spans="1:4" x14ac:dyDescent="0.25">
      <c r="A1457" s="2" t="s">
        <v>1199</v>
      </c>
      <c r="B1457" s="1">
        <v>13644</v>
      </c>
      <c r="C1457" t="s">
        <v>1174</v>
      </c>
      <c r="D1457" t="s">
        <v>28</v>
      </c>
    </row>
    <row r="1458" spans="1:4" x14ac:dyDescent="0.25">
      <c r="A1458" s="2" t="s">
        <v>1200</v>
      </c>
      <c r="B1458" s="1">
        <v>13644</v>
      </c>
      <c r="C1458" t="s">
        <v>1174</v>
      </c>
      <c r="D1458" t="s">
        <v>28</v>
      </c>
    </row>
    <row r="1459" spans="1:4" x14ac:dyDescent="0.25">
      <c r="A1459" s="2" t="s">
        <v>1201</v>
      </c>
      <c r="B1459" s="1">
        <v>13639</v>
      </c>
      <c r="C1459" t="s">
        <v>1174</v>
      </c>
      <c r="D1459" t="s">
        <v>28</v>
      </c>
    </row>
    <row r="1460" spans="1:4" x14ac:dyDescent="0.25">
      <c r="A1460" s="2" t="s">
        <v>1202</v>
      </c>
      <c r="B1460" s="1">
        <v>13658</v>
      </c>
      <c r="C1460" t="s">
        <v>1174</v>
      </c>
      <c r="D1460" t="s">
        <v>28</v>
      </c>
    </row>
    <row r="1461" spans="1:4" x14ac:dyDescent="0.25">
      <c r="A1461" s="2" t="s">
        <v>1203</v>
      </c>
      <c r="B1461" s="1">
        <v>13794</v>
      </c>
      <c r="C1461" t="s">
        <v>1174</v>
      </c>
      <c r="D1461" t="s">
        <v>28</v>
      </c>
    </row>
    <row r="1462" spans="1:4" x14ac:dyDescent="0.25">
      <c r="A1462" s="2" t="s">
        <v>1204</v>
      </c>
      <c r="B1462" s="1">
        <v>13795</v>
      </c>
      <c r="C1462" t="s">
        <v>1174</v>
      </c>
      <c r="D1462" t="s">
        <v>28</v>
      </c>
    </row>
    <row r="1463" spans="1:4" x14ac:dyDescent="0.25">
      <c r="A1463" s="2" t="s">
        <v>1205</v>
      </c>
      <c r="B1463" s="1">
        <v>13795</v>
      </c>
      <c r="C1463" t="s">
        <v>1206</v>
      </c>
      <c r="D1463" t="s">
        <v>29</v>
      </c>
    </row>
    <row r="1464" spans="1:4" x14ac:dyDescent="0.25">
      <c r="A1464" s="2" t="s">
        <v>1207</v>
      </c>
      <c r="B1464" s="1">
        <v>13795</v>
      </c>
      <c r="C1464" t="s">
        <v>1206</v>
      </c>
      <c r="D1464" t="s">
        <v>29</v>
      </c>
    </row>
    <row r="1465" spans="1:4" x14ac:dyDescent="0.25">
      <c r="A1465" s="2" t="s">
        <v>1208</v>
      </c>
      <c r="B1465" s="1">
        <v>13795</v>
      </c>
      <c r="C1465" t="s">
        <v>1206</v>
      </c>
      <c r="D1465" t="s">
        <v>29</v>
      </c>
    </row>
    <row r="1466" spans="1:4" x14ac:dyDescent="0.25">
      <c r="A1466" s="2" t="s">
        <v>1209</v>
      </c>
      <c r="B1466" s="1">
        <v>13898</v>
      </c>
      <c r="C1466" t="s">
        <v>1206</v>
      </c>
      <c r="D1466" t="s">
        <v>29</v>
      </c>
    </row>
    <row r="1467" spans="1:4" x14ac:dyDescent="0.25">
      <c r="A1467" s="2" t="s">
        <v>1210</v>
      </c>
      <c r="B1467" s="1">
        <v>13931</v>
      </c>
      <c r="C1467" t="s">
        <v>1206</v>
      </c>
      <c r="D1467" t="s">
        <v>29</v>
      </c>
    </row>
    <row r="1468" spans="1:4" x14ac:dyDescent="0.25">
      <c r="A1468" s="2" t="s">
        <v>1211</v>
      </c>
      <c r="B1468" s="1">
        <v>13863</v>
      </c>
      <c r="C1468" t="s">
        <v>1206</v>
      </c>
      <c r="D1468" t="s">
        <v>29</v>
      </c>
    </row>
    <row r="1469" spans="1:4" x14ac:dyDescent="0.25">
      <c r="A1469" s="2" t="s">
        <v>1212</v>
      </c>
      <c r="B1469" s="1">
        <v>13946</v>
      </c>
      <c r="C1469" t="s">
        <v>1206</v>
      </c>
      <c r="D1469" t="s">
        <v>29</v>
      </c>
    </row>
    <row r="1470" spans="1:4" x14ac:dyDescent="0.25">
      <c r="A1470" s="2" t="s">
        <v>1213</v>
      </c>
      <c r="B1470" s="1">
        <v>13874</v>
      </c>
      <c r="C1470" t="s">
        <v>1206</v>
      </c>
      <c r="D1470" t="s">
        <v>29</v>
      </c>
    </row>
    <row r="1471" spans="1:4" x14ac:dyDescent="0.25">
      <c r="A1471" s="2" t="s">
        <v>1214</v>
      </c>
      <c r="B1471" s="1">
        <v>13874</v>
      </c>
      <c r="C1471" t="s">
        <v>1206</v>
      </c>
      <c r="D1471" t="s">
        <v>29</v>
      </c>
    </row>
    <row r="1472" spans="1:4" x14ac:dyDescent="0.25">
      <c r="A1472" s="2" t="s">
        <v>1215</v>
      </c>
      <c r="B1472" s="1">
        <v>13874</v>
      </c>
      <c r="C1472" t="s">
        <v>1206</v>
      </c>
      <c r="D1472" t="s">
        <v>29</v>
      </c>
    </row>
    <row r="1473" spans="1:4" x14ac:dyDescent="0.25">
      <c r="A1473" s="2" t="s">
        <v>1216</v>
      </c>
      <c r="B1473" s="1">
        <v>13935</v>
      </c>
      <c r="C1473" t="s">
        <v>1206</v>
      </c>
      <c r="D1473" t="s">
        <v>29</v>
      </c>
    </row>
    <row r="1474" spans="1:4" x14ac:dyDescent="0.25">
      <c r="A1474" s="2" t="s">
        <v>1217</v>
      </c>
      <c r="B1474" s="1">
        <v>13835</v>
      </c>
      <c r="C1474" t="s">
        <v>1206</v>
      </c>
      <c r="D1474" t="s">
        <v>29</v>
      </c>
    </row>
    <row r="1475" spans="1:4" x14ac:dyDescent="0.25">
      <c r="A1475" s="2" t="s">
        <v>1218</v>
      </c>
      <c r="B1475" s="1">
        <v>13861</v>
      </c>
      <c r="C1475" t="s">
        <v>1206</v>
      </c>
      <c r="D1475" t="s">
        <v>29</v>
      </c>
    </row>
    <row r="1476" spans="1:4" x14ac:dyDescent="0.25">
      <c r="A1476" s="2" t="s">
        <v>1219</v>
      </c>
      <c r="B1476" s="1">
        <v>13877</v>
      </c>
      <c r="C1476" t="s">
        <v>1206</v>
      </c>
      <c r="D1476" t="s">
        <v>29</v>
      </c>
    </row>
    <row r="1477" spans="1:4" x14ac:dyDescent="0.25">
      <c r="A1477" s="2" t="s">
        <v>1220</v>
      </c>
      <c r="B1477" s="1">
        <v>13886</v>
      </c>
      <c r="C1477" t="s">
        <v>1206</v>
      </c>
      <c r="D1477" t="s">
        <v>29</v>
      </c>
    </row>
    <row r="1478" spans="1:4" x14ac:dyDescent="0.25">
      <c r="A1478" s="2" t="s">
        <v>1221</v>
      </c>
      <c r="B1478" s="1">
        <v>13886</v>
      </c>
      <c r="C1478" t="s">
        <v>1206</v>
      </c>
      <c r="D1478" t="s">
        <v>29</v>
      </c>
    </row>
    <row r="1479" spans="1:4" x14ac:dyDescent="0.25">
      <c r="A1479" s="2" t="s">
        <v>1222</v>
      </c>
      <c r="B1479" s="1">
        <v>13886</v>
      </c>
      <c r="C1479" t="s">
        <v>1206</v>
      </c>
      <c r="D1479" t="s">
        <v>29</v>
      </c>
    </row>
    <row r="1480" spans="1:4" x14ac:dyDescent="0.25">
      <c r="A1480" s="2" t="s">
        <v>1223</v>
      </c>
      <c r="B1480" s="1">
        <v>13931</v>
      </c>
      <c r="C1480" t="s">
        <v>1206</v>
      </c>
      <c r="D1480" t="s">
        <v>29</v>
      </c>
    </row>
    <row r="1481" spans="1:4" x14ac:dyDescent="0.25">
      <c r="A1481" s="2" t="s">
        <v>1224</v>
      </c>
      <c r="B1481" s="1">
        <v>13921</v>
      </c>
      <c r="C1481" t="s">
        <v>1206</v>
      </c>
      <c r="D1481" t="s">
        <v>29</v>
      </c>
    </row>
    <row r="1482" spans="1:4" x14ac:dyDescent="0.25">
      <c r="A1482" s="2" t="s">
        <v>1225</v>
      </c>
      <c r="B1482" s="1">
        <v>13896</v>
      </c>
      <c r="C1482" t="s">
        <v>1206</v>
      </c>
      <c r="D1482" t="s">
        <v>29</v>
      </c>
    </row>
    <row r="1483" spans="1:4" x14ac:dyDescent="0.25">
      <c r="A1483" s="2" t="s">
        <v>1226</v>
      </c>
      <c r="B1483" s="1">
        <v>13899</v>
      </c>
      <c r="C1483" t="s">
        <v>1206</v>
      </c>
      <c r="D1483" t="s">
        <v>29</v>
      </c>
    </row>
    <row r="1484" spans="1:4" x14ac:dyDescent="0.25">
      <c r="A1484" s="2" t="s">
        <v>1227</v>
      </c>
      <c r="B1484" s="1">
        <v>13874</v>
      </c>
      <c r="C1484" t="s">
        <v>1206</v>
      </c>
      <c r="D1484" t="s">
        <v>29</v>
      </c>
    </row>
    <row r="1485" spans="1:4" x14ac:dyDescent="0.25">
      <c r="A1485" s="2" t="s">
        <v>1228</v>
      </c>
      <c r="B1485" s="1">
        <v>13874</v>
      </c>
      <c r="C1485" t="s">
        <v>1206</v>
      </c>
      <c r="D1485" t="s">
        <v>29</v>
      </c>
    </row>
    <row r="1486" spans="1:4" x14ac:dyDescent="0.25">
      <c r="A1486" s="2" t="s">
        <v>1229</v>
      </c>
      <c r="B1486" s="1">
        <v>13874</v>
      </c>
      <c r="C1486" t="s">
        <v>1206</v>
      </c>
      <c r="D1486" t="s">
        <v>29</v>
      </c>
    </row>
    <row r="1487" spans="1:4" x14ac:dyDescent="0.25">
      <c r="A1487" s="2" t="s">
        <v>1230</v>
      </c>
      <c r="B1487" s="1">
        <v>13844</v>
      </c>
      <c r="C1487" t="s">
        <v>1206</v>
      </c>
      <c r="D1487" t="s">
        <v>29</v>
      </c>
    </row>
    <row r="1488" spans="1:4" x14ac:dyDescent="0.25">
      <c r="A1488" s="2" t="s">
        <v>1231</v>
      </c>
      <c r="B1488" s="1">
        <v>13904</v>
      </c>
      <c r="C1488" t="s">
        <v>1206</v>
      </c>
      <c r="D1488" t="s">
        <v>29</v>
      </c>
    </row>
    <row r="1489" spans="1:4" x14ac:dyDescent="0.25">
      <c r="A1489" s="2" t="s">
        <v>1232</v>
      </c>
      <c r="B1489" s="1">
        <v>13871</v>
      </c>
      <c r="C1489" t="s">
        <v>1206</v>
      </c>
      <c r="D1489" t="s">
        <v>29</v>
      </c>
    </row>
    <row r="1490" spans="1:4" x14ac:dyDescent="0.25">
      <c r="A1490" s="2" t="s">
        <v>1233</v>
      </c>
      <c r="B1490" s="1">
        <v>13889</v>
      </c>
      <c r="C1490" t="s">
        <v>1206</v>
      </c>
      <c r="D1490" t="s">
        <v>29</v>
      </c>
    </row>
    <row r="1491" spans="1:4" x14ac:dyDescent="0.25">
      <c r="A1491" s="2" t="s">
        <v>1234</v>
      </c>
      <c r="B1491" s="1">
        <v>13846</v>
      </c>
      <c r="C1491" t="s">
        <v>1206</v>
      </c>
      <c r="D1491" t="s">
        <v>29</v>
      </c>
    </row>
    <row r="1492" spans="1:4" x14ac:dyDescent="0.25">
      <c r="A1492" s="2" t="s">
        <v>1235</v>
      </c>
      <c r="B1492" s="1">
        <v>13846</v>
      </c>
      <c r="C1492" t="s">
        <v>1206</v>
      </c>
      <c r="D1492" t="s">
        <v>29</v>
      </c>
    </row>
    <row r="1493" spans="1:4" x14ac:dyDescent="0.25">
      <c r="A1493" s="2" t="s">
        <v>1236</v>
      </c>
      <c r="B1493" s="1">
        <v>13846</v>
      </c>
      <c r="C1493" t="s">
        <v>1206</v>
      </c>
      <c r="D1493" t="s">
        <v>29</v>
      </c>
    </row>
    <row r="1494" spans="1:4" x14ac:dyDescent="0.25">
      <c r="A1494" s="2" t="s">
        <v>1237</v>
      </c>
      <c r="B1494" s="1">
        <v>13699</v>
      </c>
      <c r="C1494" t="s">
        <v>1238</v>
      </c>
      <c r="D1494" t="s">
        <v>29</v>
      </c>
    </row>
    <row r="1495" spans="1:4" x14ac:dyDescent="0.25">
      <c r="A1495" s="2" t="s">
        <v>1239</v>
      </c>
      <c r="B1495" s="1">
        <v>13621</v>
      </c>
      <c r="C1495" t="s">
        <v>1238</v>
      </c>
      <c r="D1495" t="s">
        <v>29</v>
      </c>
    </row>
    <row r="1496" spans="1:4" x14ac:dyDescent="0.25">
      <c r="A1496" s="2" t="s">
        <v>1240</v>
      </c>
      <c r="B1496" s="1">
        <v>13757</v>
      </c>
      <c r="C1496" t="s">
        <v>1238</v>
      </c>
      <c r="D1496" t="s">
        <v>29</v>
      </c>
    </row>
    <row r="1497" spans="1:4" x14ac:dyDescent="0.25">
      <c r="A1497" s="2" t="s">
        <v>1241</v>
      </c>
      <c r="B1497" s="1">
        <v>13662</v>
      </c>
      <c r="C1497" t="s">
        <v>1238</v>
      </c>
      <c r="D1497" t="s">
        <v>29</v>
      </c>
    </row>
    <row r="1498" spans="1:4" x14ac:dyDescent="0.25">
      <c r="A1498" s="2" t="s">
        <v>1242</v>
      </c>
      <c r="B1498" s="1">
        <v>13653</v>
      </c>
      <c r="C1498" t="s">
        <v>1238</v>
      </c>
      <c r="D1498" t="s">
        <v>29</v>
      </c>
    </row>
    <row r="1499" spans="1:4" x14ac:dyDescent="0.25">
      <c r="A1499" s="2" t="s">
        <v>1243</v>
      </c>
      <c r="B1499" s="1">
        <v>13653</v>
      </c>
      <c r="C1499" t="s">
        <v>1238</v>
      </c>
      <c r="D1499" t="s">
        <v>29</v>
      </c>
    </row>
    <row r="1500" spans="1:4" x14ac:dyDescent="0.25">
      <c r="A1500" s="2" t="s">
        <v>1244</v>
      </c>
      <c r="B1500" s="1">
        <v>13653</v>
      </c>
      <c r="C1500" t="s">
        <v>1238</v>
      </c>
      <c r="D1500" t="s">
        <v>29</v>
      </c>
    </row>
    <row r="1501" spans="1:4" x14ac:dyDescent="0.25">
      <c r="A1501" s="2" t="s">
        <v>1245</v>
      </c>
      <c r="B1501" s="1">
        <v>13653</v>
      </c>
      <c r="C1501" t="s">
        <v>1238</v>
      </c>
      <c r="D1501" t="s">
        <v>29</v>
      </c>
    </row>
    <row r="1502" spans="1:4" x14ac:dyDescent="0.25">
      <c r="A1502" s="2" t="s">
        <v>1246</v>
      </c>
      <c r="B1502" s="1">
        <v>13689</v>
      </c>
      <c r="C1502" t="s">
        <v>1238</v>
      </c>
      <c r="D1502" t="s">
        <v>29</v>
      </c>
    </row>
    <row r="1503" spans="1:4" x14ac:dyDescent="0.25">
      <c r="A1503" s="2" t="s">
        <v>1247</v>
      </c>
      <c r="B1503" s="1">
        <v>13538</v>
      </c>
      <c r="C1503" t="s">
        <v>1238</v>
      </c>
      <c r="D1503" t="s">
        <v>29</v>
      </c>
    </row>
    <row r="1504" spans="1:4" x14ac:dyDescent="0.25">
      <c r="A1504" s="2" t="s">
        <v>1248</v>
      </c>
      <c r="B1504" s="1">
        <v>13369</v>
      </c>
      <c r="C1504" t="s">
        <v>1238</v>
      </c>
      <c r="D1504" t="s">
        <v>29</v>
      </c>
    </row>
    <row r="1505" spans="1:4" x14ac:dyDescent="0.25">
      <c r="A1505" s="2" t="s">
        <v>1249</v>
      </c>
      <c r="B1505" s="1">
        <v>13471</v>
      </c>
      <c r="C1505" t="s">
        <v>1238</v>
      </c>
      <c r="D1505" t="s">
        <v>29</v>
      </c>
    </row>
    <row r="1506" spans="1:4" x14ac:dyDescent="0.25">
      <c r="A1506" s="2" t="s">
        <v>1250</v>
      </c>
      <c r="B1506" s="1">
        <v>13471</v>
      </c>
      <c r="C1506" t="s">
        <v>1238</v>
      </c>
      <c r="D1506" t="s">
        <v>29</v>
      </c>
    </row>
    <row r="1507" spans="1:4" x14ac:dyDescent="0.25">
      <c r="A1507" s="2" t="s">
        <v>1251</v>
      </c>
      <c r="B1507" s="1">
        <v>13471</v>
      </c>
      <c r="C1507" t="s">
        <v>1238</v>
      </c>
      <c r="D1507" t="s">
        <v>29</v>
      </c>
    </row>
    <row r="1508" spans="1:4" x14ac:dyDescent="0.25">
      <c r="A1508" s="2" t="s">
        <v>1252</v>
      </c>
      <c r="B1508" s="1">
        <v>13476</v>
      </c>
      <c r="C1508" t="s">
        <v>1238</v>
      </c>
      <c r="D1508" t="s">
        <v>29</v>
      </c>
    </row>
    <row r="1509" spans="1:4" x14ac:dyDescent="0.25">
      <c r="A1509" s="2" t="s">
        <v>1253</v>
      </c>
      <c r="B1509" s="1">
        <v>13333</v>
      </c>
      <c r="C1509" t="s">
        <v>1238</v>
      </c>
      <c r="D1509" t="s">
        <v>29</v>
      </c>
    </row>
    <row r="1510" spans="1:4" x14ac:dyDescent="0.25">
      <c r="A1510" s="2" t="s">
        <v>1254</v>
      </c>
      <c r="B1510" s="1">
        <v>13504</v>
      </c>
      <c r="C1510" t="s">
        <v>1238</v>
      </c>
      <c r="D1510" t="s">
        <v>29</v>
      </c>
    </row>
    <row r="1511" spans="1:4" x14ac:dyDescent="0.25">
      <c r="A1511" s="2" t="s">
        <v>1255</v>
      </c>
      <c r="B1511" s="1">
        <v>13479</v>
      </c>
      <c r="C1511" t="s">
        <v>1238</v>
      </c>
      <c r="D1511" t="s">
        <v>29</v>
      </c>
    </row>
    <row r="1512" spans="1:4" x14ac:dyDescent="0.25">
      <c r="A1512" s="2" t="s">
        <v>1256</v>
      </c>
      <c r="B1512" s="1">
        <v>13549</v>
      </c>
      <c r="C1512" t="s">
        <v>1238</v>
      </c>
      <c r="D1512" t="s">
        <v>29</v>
      </c>
    </row>
    <row r="1513" spans="1:4" x14ac:dyDescent="0.25">
      <c r="A1513" s="2" t="s">
        <v>1257</v>
      </c>
      <c r="B1513" s="1">
        <v>13549</v>
      </c>
      <c r="C1513" t="s">
        <v>1238</v>
      </c>
      <c r="D1513" t="s">
        <v>29</v>
      </c>
    </row>
    <row r="1514" spans="1:4" x14ac:dyDescent="0.25">
      <c r="A1514" s="2" t="s">
        <v>1258</v>
      </c>
      <c r="B1514" s="1">
        <v>13549</v>
      </c>
      <c r="C1514" t="s">
        <v>1238</v>
      </c>
      <c r="D1514" t="s">
        <v>29</v>
      </c>
    </row>
    <row r="1515" spans="1:4" x14ac:dyDescent="0.25">
      <c r="A1515" s="2" t="s">
        <v>1259</v>
      </c>
      <c r="B1515" s="1">
        <v>13460</v>
      </c>
      <c r="C1515" t="s">
        <v>1238</v>
      </c>
      <c r="D1515" t="s">
        <v>29</v>
      </c>
    </row>
    <row r="1516" spans="1:4" x14ac:dyDescent="0.25">
      <c r="A1516" s="2" t="s">
        <v>1260</v>
      </c>
      <c r="B1516" s="1">
        <v>13397</v>
      </c>
      <c r="C1516" t="s">
        <v>1238</v>
      </c>
      <c r="D1516" t="s">
        <v>29</v>
      </c>
    </row>
    <row r="1517" spans="1:4" x14ac:dyDescent="0.25">
      <c r="A1517" s="2" t="s">
        <v>1261</v>
      </c>
      <c r="B1517" s="1">
        <v>13446</v>
      </c>
      <c r="C1517" t="s">
        <v>1238</v>
      </c>
      <c r="D1517" t="s">
        <v>29</v>
      </c>
    </row>
    <row r="1518" spans="1:4" x14ac:dyDescent="0.25">
      <c r="A1518" s="2" t="s">
        <v>1262</v>
      </c>
      <c r="B1518" s="1">
        <v>13416</v>
      </c>
      <c r="C1518" t="s">
        <v>1238</v>
      </c>
      <c r="D1518" t="s">
        <v>29</v>
      </c>
    </row>
    <row r="1519" spans="1:4" x14ac:dyDescent="0.25">
      <c r="A1519" s="2" t="s">
        <v>1263</v>
      </c>
      <c r="B1519" s="1">
        <v>13400</v>
      </c>
      <c r="C1519" t="s">
        <v>1238</v>
      </c>
      <c r="D1519" t="s">
        <v>29</v>
      </c>
    </row>
    <row r="1520" spans="1:4" x14ac:dyDescent="0.25">
      <c r="A1520" s="2" t="s">
        <v>1264</v>
      </c>
      <c r="B1520" s="1">
        <v>13400</v>
      </c>
      <c r="C1520" t="s">
        <v>1238</v>
      </c>
      <c r="D1520" t="s">
        <v>29</v>
      </c>
    </row>
    <row r="1521" spans="1:4" x14ac:dyDescent="0.25">
      <c r="A1521" s="2" t="s">
        <v>1265</v>
      </c>
      <c r="B1521" s="1">
        <v>13400</v>
      </c>
      <c r="C1521" t="s">
        <v>1238</v>
      </c>
      <c r="D1521" t="s">
        <v>29</v>
      </c>
    </row>
    <row r="1522" spans="1:4" x14ac:dyDescent="0.25">
      <c r="A1522" s="2" t="s">
        <v>1266</v>
      </c>
      <c r="B1522" s="1">
        <v>13395</v>
      </c>
      <c r="C1522" t="s">
        <v>1238</v>
      </c>
      <c r="D1522" t="s">
        <v>29</v>
      </c>
    </row>
    <row r="1523" spans="1:4" x14ac:dyDescent="0.25">
      <c r="A1523" s="2" t="s">
        <v>1267</v>
      </c>
      <c r="B1523" s="1">
        <v>13367</v>
      </c>
      <c r="C1523" t="s">
        <v>1268</v>
      </c>
      <c r="D1523" t="s">
        <v>29</v>
      </c>
    </row>
    <row r="1524" spans="1:4" x14ac:dyDescent="0.25">
      <c r="A1524" s="2" t="s">
        <v>1269</v>
      </c>
      <c r="B1524" s="1">
        <v>13314</v>
      </c>
      <c r="C1524" t="s">
        <v>1268</v>
      </c>
      <c r="D1524" t="s">
        <v>29</v>
      </c>
    </row>
    <row r="1525" spans="1:4" x14ac:dyDescent="0.25">
      <c r="A1525" s="2" t="s">
        <v>1270</v>
      </c>
      <c r="B1525" s="1">
        <v>13260</v>
      </c>
      <c r="C1525" t="s">
        <v>1268</v>
      </c>
      <c r="D1525" t="s">
        <v>29</v>
      </c>
    </row>
    <row r="1526" spans="1:4" x14ac:dyDescent="0.25">
      <c r="A1526" s="2" t="s">
        <v>1271</v>
      </c>
      <c r="B1526" s="1">
        <v>13159</v>
      </c>
      <c r="C1526" t="s">
        <v>1268</v>
      </c>
      <c r="D1526" t="s">
        <v>29</v>
      </c>
    </row>
    <row r="1527" spans="1:4" x14ac:dyDescent="0.25">
      <c r="A1527" s="2" t="s">
        <v>1272</v>
      </c>
      <c r="B1527" s="1">
        <v>13159</v>
      </c>
      <c r="C1527" t="s">
        <v>1268</v>
      </c>
      <c r="D1527" t="s">
        <v>29</v>
      </c>
    </row>
    <row r="1528" spans="1:4" x14ac:dyDescent="0.25">
      <c r="A1528" s="2" t="s">
        <v>1273</v>
      </c>
      <c r="B1528" s="1">
        <v>13159</v>
      </c>
      <c r="C1528" t="s">
        <v>1268</v>
      </c>
      <c r="D1528" t="s">
        <v>29</v>
      </c>
    </row>
    <row r="1529" spans="1:4" x14ac:dyDescent="0.25">
      <c r="A1529" s="2" t="s">
        <v>1274</v>
      </c>
      <c r="B1529" s="1">
        <v>13029</v>
      </c>
      <c r="C1529" t="s">
        <v>1268</v>
      </c>
      <c r="D1529" t="s">
        <v>29</v>
      </c>
    </row>
    <row r="1530" spans="1:4" x14ac:dyDescent="0.25">
      <c r="A1530" s="2" t="s">
        <v>1275</v>
      </c>
      <c r="B1530" s="1">
        <v>13128</v>
      </c>
      <c r="C1530" t="s">
        <v>1268</v>
      </c>
      <c r="D1530" t="s">
        <v>29</v>
      </c>
    </row>
    <row r="1531" spans="1:4" x14ac:dyDescent="0.25">
      <c r="A1531" s="2" t="s">
        <v>1276</v>
      </c>
      <c r="B1531" s="1">
        <v>13128</v>
      </c>
      <c r="C1531" t="s">
        <v>1268</v>
      </c>
      <c r="D1531" t="s">
        <v>29</v>
      </c>
    </row>
    <row r="1532" spans="1:4" x14ac:dyDescent="0.25">
      <c r="A1532" s="2" t="s">
        <v>1277</v>
      </c>
      <c r="B1532" s="1">
        <v>13149</v>
      </c>
      <c r="C1532" t="s">
        <v>1268</v>
      </c>
      <c r="D1532" t="s">
        <v>29</v>
      </c>
    </row>
    <row r="1533" spans="1:4" x14ac:dyDescent="0.25">
      <c r="A1533" s="2" t="s">
        <v>1278</v>
      </c>
      <c r="B1533" s="1">
        <v>13087</v>
      </c>
      <c r="C1533" t="s">
        <v>1268</v>
      </c>
      <c r="D1533" t="s">
        <v>29</v>
      </c>
    </row>
    <row r="1534" spans="1:4" x14ac:dyDescent="0.25">
      <c r="A1534" s="2" t="s">
        <v>1279</v>
      </c>
      <c r="B1534" s="1">
        <v>13087</v>
      </c>
      <c r="C1534" t="s">
        <v>1268</v>
      </c>
      <c r="D1534" t="s">
        <v>29</v>
      </c>
    </row>
    <row r="1535" spans="1:4" x14ac:dyDescent="0.25">
      <c r="A1535" s="2" t="s">
        <v>1280</v>
      </c>
      <c r="B1535" s="1">
        <v>13087</v>
      </c>
      <c r="C1535" t="s">
        <v>1268</v>
      </c>
      <c r="D1535" t="s">
        <v>29</v>
      </c>
    </row>
    <row r="1536" spans="1:4" x14ac:dyDescent="0.25">
      <c r="A1536" s="2" t="s">
        <v>1281</v>
      </c>
      <c r="B1536" s="1">
        <v>13020</v>
      </c>
      <c r="C1536" t="s">
        <v>1268</v>
      </c>
      <c r="D1536" t="s">
        <v>29</v>
      </c>
    </row>
    <row r="1537" spans="1:4" x14ac:dyDescent="0.25">
      <c r="A1537" s="2" t="s">
        <v>1282</v>
      </c>
      <c r="B1537" s="1">
        <v>13087</v>
      </c>
      <c r="C1537" t="s">
        <v>1268</v>
      </c>
      <c r="D1537" t="s">
        <v>29</v>
      </c>
    </row>
    <row r="1538" spans="1:4" x14ac:dyDescent="0.25">
      <c r="A1538" s="2" t="s">
        <v>1283</v>
      </c>
      <c r="B1538" s="1">
        <v>13169</v>
      </c>
      <c r="C1538" t="s">
        <v>1268</v>
      </c>
      <c r="D1538" t="s">
        <v>29</v>
      </c>
    </row>
    <row r="1539" spans="1:4" x14ac:dyDescent="0.25">
      <c r="A1539" s="2" t="s">
        <v>1284</v>
      </c>
      <c r="B1539" s="1">
        <v>13166</v>
      </c>
      <c r="C1539" t="s">
        <v>1268</v>
      </c>
      <c r="D1539" t="s">
        <v>29</v>
      </c>
    </row>
    <row r="1540" spans="1:4" x14ac:dyDescent="0.25">
      <c r="A1540" s="2" t="s">
        <v>1285</v>
      </c>
      <c r="B1540" s="1">
        <v>13048</v>
      </c>
      <c r="C1540" t="s">
        <v>1268</v>
      </c>
      <c r="D1540" t="s">
        <v>29</v>
      </c>
    </row>
    <row r="1541" spans="1:4" x14ac:dyDescent="0.25">
      <c r="A1541" s="2" t="s">
        <v>1286</v>
      </c>
      <c r="B1541" s="1">
        <v>13048</v>
      </c>
      <c r="C1541" t="s">
        <v>1268</v>
      </c>
      <c r="D1541" t="s">
        <v>29</v>
      </c>
    </row>
    <row r="1542" spans="1:4" x14ac:dyDescent="0.25">
      <c r="A1542" s="2" t="s">
        <v>1287</v>
      </c>
      <c r="B1542" s="1">
        <v>13048</v>
      </c>
      <c r="C1542" t="s">
        <v>1268</v>
      </c>
      <c r="D1542" t="s">
        <v>29</v>
      </c>
    </row>
    <row r="1543" spans="1:4" x14ac:dyDescent="0.25">
      <c r="A1543" s="2" t="s">
        <v>1288</v>
      </c>
      <c r="B1543" s="1">
        <v>13160</v>
      </c>
      <c r="C1543" t="s">
        <v>1268</v>
      </c>
      <c r="D1543" t="s">
        <v>29</v>
      </c>
    </row>
    <row r="1544" spans="1:4" x14ac:dyDescent="0.25">
      <c r="A1544" s="2" t="s">
        <v>1289</v>
      </c>
      <c r="B1544" s="1">
        <v>13175</v>
      </c>
      <c r="C1544" t="s">
        <v>1268</v>
      </c>
      <c r="D1544" t="s">
        <v>29</v>
      </c>
    </row>
    <row r="1545" spans="1:4" x14ac:dyDescent="0.25">
      <c r="A1545" s="2" t="s">
        <v>1290</v>
      </c>
      <c r="B1545" s="1">
        <v>13167</v>
      </c>
      <c r="C1545" t="s">
        <v>1268</v>
      </c>
      <c r="D1545" t="s">
        <v>29</v>
      </c>
    </row>
    <row r="1546" spans="1:4" x14ac:dyDescent="0.25">
      <c r="A1546" s="2" t="s">
        <v>1291</v>
      </c>
      <c r="B1546" s="1">
        <v>13250</v>
      </c>
      <c r="C1546" t="s">
        <v>1268</v>
      </c>
      <c r="D1546" t="s">
        <v>29</v>
      </c>
    </row>
    <row r="1547" spans="1:4" x14ac:dyDescent="0.25">
      <c r="A1547" s="2" t="s">
        <v>1292</v>
      </c>
      <c r="B1547" s="1">
        <v>13250</v>
      </c>
      <c r="C1547" t="s">
        <v>1268</v>
      </c>
      <c r="D1547" t="s">
        <v>29</v>
      </c>
    </row>
    <row r="1548" spans="1:4" x14ac:dyDescent="0.25">
      <c r="A1548" s="2" t="s">
        <v>1293</v>
      </c>
      <c r="B1548" s="1">
        <v>13250</v>
      </c>
      <c r="C1548" t="s">
        <v>1268</v>
      </c>
      <c r="D1548" t="s">
        <v>29</v>
      </c>
    </row>
    <row r="1549" spans="1:4" x14ac:dyDescent="0.25">
      <c r="A1549" s="2" t="s">
        <v>1294</v>
      </c>
      <c r="B1549" s="1">
        <v>13250</v>
      </c>
      <c r="C1549" t="s">
        <v>1268</v>
      </c>
      <c r="D1549" t="s">
        <v>29</v>
      </c>
    </row>
    <row r="1550" spans="1:4" x14ac:dyDescent="0.25">
      <c r="A1550" s="2" t="s">
        <v>1295</v>
      </c>
      <c r="B1550" s="1">
        <v>13323</v>
      </c>
      <c r="C1550" t="s">
        <v>1268</v>
      </c>
      <c r="D1550" t="s">
        <v>29</v>
      </c>
    </row>
    <row r="1551" spans="1:4" x14ac:dyDescent="0.25">
      <c r="A1551" s="2" t="s">
        <v>1296</v>
      </c>
      <c r="B1551" s="1">
        <v>13363</v>
      </c>
      <c r="C1551" t="s">
        <v>1268</v>
      </c>
      <c r="D1551" t="s">
        <v>29</v>
      </c>
    </row>
    <row r="1552" spans="1:4" x14ac:dyDescent="0.25">
      <c r="A1552" s="2" t="s">
        <v>1297</v>
      </c>
      <c r="B1552" s="1">
        <v>13359</v>
      </c>
      <c r="C1552" t="s">
        <v>1268</v>
      </c>
      <c r="D1552" t="s">
        <v>29</v>
      </c>
    </row>
    <row r="1553" spans="1:4" x14ac:dyDescent="0.25">
      <c r="A1553" s="2" t="s">
        <v>1298</v>
      </c>
      <c r="B1553" s="1">
        <v>13276</v>
      </c>
      <c r="C1553" t="s">
        <v>1268</v>
      </c>
      <c r="D1553" t="s">
        <v>29</v>
      </c>
    </row>
    <row r="1554" spans="1:4" x14ac:dyDescent="0.25">
      <c r="A1554" s="2" t="s">
        <v>1299</v>
      </c>
      <c r="B1554" s="1">
        <v>13200</v>
      </c>
      <c r="C1554" t="s">
        <v>1300</v>
      </c>
      <c r="D1554" t="s">
        <v>30</v>
      </c>
    </row>
    <row r="1555" spans="1:4" x14ac:dyDescent="0.25">
      <c r="A1555" s="2" t="s">
        <v>1301</v>
      </c>
      <c r="B1555" s="1">
        <v>13200</v>
      </c>
      <c r="C1555" t="s">
        <v>1300</v>
      </c>
      <c r="D1555" t="s">
        <v>30</v>
      </c>
    </row>
    <row r="1556" spans="1:4" x14ac:dyDescent="0.25">
      <c r="A1556" s="2" t="s">
        <v>1302</v>
      </c>
      <c r="B1556" s="1">
        <v>13200</v>
      </c>
      <c r="C1556" t="s">
        <v>1300</v>
      </c>
      <c r="D1556" t="s">
        <v>30</v>
      </c>
    </row>
    <row r="1557" spans="1:4" x14ac:dyDescent="0.25">
      <c r="A1557" s="2" t="s">
        <v>1303</v>
      </c>
      <c r="B1557" s="1">
        <v>13145</v>
      </c>
      <c r="C1557" t="s">
        <v>1300</v>
      </c>
      <c r="D1557" t="s">
        <v>30</v>
      </c>
    </row>
    <row r="1558" spans="1:4" x14ac:dyDescent="0.25">
      <c r="A1558" s="2" t="s">
        <v>1304</v>
      </c>
      <c r="B1558" s="1">
        <v>13217</v>
      </c>
      <c r="C1558" t="s">
        <v>1300</v>
      </c>
      <c r="D1558" t="s">
        <v>30</v>
      </c>
    </row>
    <row r="1559" spans="1:4" x14ac:dyDescent="0.25">
      <c r="A1559" s="2" t="s">
        <v>1305</v>
      </c>
      <c r="B1559" s="1">
        <v>13223</v>
      </c>
      <c r="C1559" t="s">
        <v>1300</v>
      </c>
      <c r="D1559" t="s">
        <v>30</v>
      </c>
    </row>
    <row r="1560" spans="1:4" x14ac:dyDescent="0.25">
      <c r="A1560" s="2" t="s">
        <v>1306</v>
      </c>
      <c r="B1560" s="1">
        <v>13197</v>
      </c>
      <c r="C1560" t="s">
        <v>1300</v>
      </c>
      <c r="D1560" t="s">
        <v>30</v>
      </c>
    </row>
    <row r="1561" spans="1:4" x14ac:dyDescent="0.25">
      <c r="A1561" s="2" t="s">
        <v>1307</v>
      </c>
      <c r="B1561" s="1">
        <v>13169</v>
      </c>
      <c r="C1561" t="s">
        <v>1300</v>
      </c>
      <c r="D1561" t="s">
        <v>30</v>
      </c>
    </row>
    <row r="1562" spans="1:4" x14ac:dyDescent="0.25">
      <c r="A1562" s="2" t="s">
        <v>1308</v>
      </c>
      <c r="B1562" s="1">
        <v>13169</v>
      </c>
      <c r="C1562" t="s">
        <v>1300</v>
      </c>
      <c r="D1562" t="s">
        <v>30</v>
      </c>
    </row>
    <row r="1563" spans="1:4" x14ac:dyDescent="0.25">
      <c r="A1563" s="2" t="s">
        <v>1309</v>
      </c>
      <c r="B1563" s="1">
        <v>13169</v>
      </c>
      <c r="C1563" t="s">
        <v>1300</v>
      </c>
      <c r="D1563" t="s">
        <v>30</v>
      </c>
    </row>
    <row r="1564" spans="1:4" x14ac:dyDescent="0.25">
      <c r="A1564" s="2" t="s">
        <v>1310</v>
      </c>
      <c r="B1564" s="1">
        <v>13134</v>
      </c>
      <c r="C1564" t="s">
        <v>1300</v>
      </c>
      <c r="D1564" t="s">
        <v>30</v>
      </c>
    </row>
    <row r="1565" spans="1:4" x14ac:dyDescent="0.25">
      <c r="A1565" s="2" t="s">
        <v>1311</v>
      </c>
      <c r="B1565" s="1">
        <v>13123</v>
      </c>
      <c r="C1565" t="s">
        <v>1300</v>
      </c>
      <c r="D1565" t="s">
        <v>30</v>
      </c>
    </row>
    <row r="1566" spans="1:4" x14ac:dyDescent="0.25">
      <c r="A1566" s="2" t="s">
        <v>1312</v>
      </c>
      <c r="B1566" s="1">
        <v>13096</v>
      </c>
      <c r="C1566" t="s">
        <v>1300</v>
      </c>
      <c r="D1566" t="s">
        <v>30</v>
      </c>
    </row>
    <row r="1567" spans="1:4" x14ac:dyDescent="0.25">
      <c r="A1567" s="2" t="s">
        <v>1313</v>
      </c>
      <c r="B1567" s="1">
        <v>13238</v>
      </c>
      <c r="C1567" t="s">
        <v>1300</v>
      </c>
      <c r="D1567" t="s">
        <v>30</v>
      </c>
    </row>
    <row r="1568" spans="1:4" x14ac:dyDescent="0.25">
      <c r="A1568" s="2" t="s">
        <v>1314</v>
      </c>
      <c r="B1568" s="1">
        <v>13166</v>
      </c>
      <c r="C1568" t="s">
        <v>1300</v>
      </c>
      <c r="D1568" t="s">
        <v>30</v>
      </c>
    </row>
    <row r="1569" spans="1:4" x14ac:dyDescent="0.25">
      <c r="A1569" s="2" t="s">
        <v>1315</v>
      </c>
      <c r="B1569" s="1">
        <v>13166</v>
      </c>
      <c r="C1569" t="s">
        <v>1300</v>
      </c>
      <c r="D1569" t="s">
        <v>30</v>
      </c>
    </row>
    <row r="1570" spans="1:4" x14ac:dyDescent="0.25">
      <c r="A1570" s="2" t="s">
        <v>1316</v>
      </c>
      <c r="B1570" s="1">
        <v>13166</v>
      </c>
      <c r="C1570" t="s">
        <v>1300</v>
      </c>
      <c r="D1570" t="s">
        <v>30</v>
      </c>
    </row>
    <row r="1571" spans="1:4" x14ac:dyDescent="0.25">
      <c r="A1571" s="2" t="s">
        <v>1317</v>
      </c>
      <c r="B1571" s="1">
        <v>13204</v>
      </c>
      <c r="C1571" t="s">
        <v>1300</v>
      </c>
      <c r="D1571" t="s">
        <v>30</v>
      </c>
    </row>
    <row r="1572" spans="1:4" x14ac:dyDescent="0.25">
      <c r="A1572" s="2" t="s">
        <v>1318</v>
      </c>
      <c r="B1572" s="1">
        <v>13150</v>
      </c>
      <c r="C1572" t="s">
        <v>1300</v>
      </c>
      <c r="D1572" t="s">
        <v>30</v>
      </c>
    </row>
    <row r="1573" spans="1:4" x14ac:dyDescent="0.25">
      <c r="A1573" s="2" t="s">
        <v>1319</v>
      </c>
      <c r="B1573" s="1">
        <v>13133</v>
      </c>
      <c r="C1573" t="s">
        <v>1300</v>
      </c>
      <c r="D1573" t="s">
        <v>30</v>
      </c>
    </row>
    <row r="1574" spans="1:4" x14ac:dyDescent="0.25">
      <c r="A1574" s="2" t="s">
        <v>1320</v>
      </c>
      <c r="B1574" s="1">
        <v>13182</v>
      </c>
      <c r="C1574" t="s">
        <v>1300</v>
      </c>
      <c r="D1574" t="s">
        <v>30</v>
      </c>
    </row>
    <row r="1575" spans="1:4" x14ac:dyDescent="0.25">
      <c r="A1575" s="2" t="s">
        <v>1321</v>
      </c>
      <c r="B1575" s="1">
        <v>13169</v>
      </c>
      <c r="C1575" t="s">
        <v>1300</v>
      </c>
      <c r="D1575" t="s">
        <v>30</v>
      </c>
    </row>
    <row r="1576" spans="1:4" x14ac:dyDescent="0.25">
      <c r="A1576" s="2" t="s">
        <v>1322</v>
      </c>
      <c r="B1576" s="1">
        <v>13169</v>
      </c>
      <c r="C1576" t="s">
        <v>1300</v>
      </c>
      <c r="D1576" t="s">
        <v>30</v>
      </c>
    </row>
    <row r="1577" spans="1:4" x14ac:dyDescent="0.25">
      <c r="A1577" s="2" t="s">
        <v>1323</v>
      </c>
      <c r="B1577" s="1">
        <v>13169</v>
      </c>
      <c r="C1577" t="s">
        <v>1300</v>
      </c>
      <c r="D1577" t="s">
        <v>30</v>
      </c>
    </row>
    <row r="1578" spans="1:4" x14ac:dyDescent="0.25">
      <c r="A1578" s="2" t="s">
        <v>1324</v>
      </c>
      <c r="B1578" s="1">
        <v>13235</v>
      </c>
      <c r="C1578" t="s">
        <v>1300</v>
      </c>
      <c r="D1578" t="s">
        <v>30</v>
      </c>
    </row>
    <row r="1579" spans="1:4" x14ac:dyDescent="0.25">
      <c r="A1579" s="2" t="s">
        <v>1325</v>
      </c>
      <c r="B1579" s="1">
        <v>13215</v>
      </c>
      <c r="C1579" t="s">
        <v>1300</v>
      </c>
      <c r="D1579" t="s">
        <v>30</v>
      </c>
    </row>
    <row r="1580" spans="1:4" x14ac:dyDescent="0.25">
      <c r="A1580" s="2" t="s">
        <v>1326</v>
      </c>
      <c r="B1580" s="1">
        <v>13173</v>
      </c>
      <c r="C1580" t="s">
        <v>1300</v>
      </c>
      <c r="D1580" t="s">
        <v>30</v>
      </c>
    </row>
    <row r="1581" spans="1:4" x14ac:dyDescent="0.25">
      <c r="A1581" s="2" t="s">
        <v>1327</v>
      </c>
      <c r="B1581" s="1">
        <v>13204</v>
      </c>
      <c r="C1581" t="s">
        <v>1300</v>
      </c>
      <c r="D1581" t="s">
        <v>30</v>
      </c>
    </row>
    <row r="1582" spans="1:4" x14ac:dyDescent="0.25">
      <c r="A1582" s="2" t="s">
        <v>1328</v>
      </c>
      <c r="B1582" s="1">
        <v>13204</v>
      </c>
      <c r="C1582" t="s">
        <v>1300</v>
      </c>
      <c r="D1582" t="s">
        <v>30</v>
      </c>
    </row>
    <row r="1583" spans="1:4" x14ac:dyDescent="0.25">
      <c r="A1583" s="2" t="s">
        <v>1329</v>
      </c>
      <c r="B1583" s="1">
        <v>13204</v>
      </c>
      <c r="C1583" t="s">
        <v>1300</v>
      </c>
      <c r="D1583" t="s">
        <v>30</v>
      </c>
    </row>
    <row r="1584" spans="1:4" x14ac:dyDescent="0.25">
      <c r="A1584" s="2" t="s">
        <v>1330</v>
      </c>
      <c r="B1584" s="1">
        <v>13204</v>
      </c>
      <c r="C1584" t="s">
        <v>1331</v>
      </c>
      <c r="D1584" t="s">
        <v>30</v>
      </c>
    </row>
    <row r="1585" spans="1:4" x14ac:dyDescent="0.25">
      <c r="A1585" s="2" t="s">
        <v>1332</v>
      </c>
      <c r="B1585" s="1">
        <v>13192</v>
      </c>
      <c r="C1585" t="s">
        <v>1331</v>
      </c>
      <c r="D1585" t="s">
        <v>30</v>
      </c>
    </row>
    <row r="1586" spans="1:4" x14ac:dyDescent="0.25">
      <c r="A1586" s="2" t="s">
        <v>1333</v>
      </c>
      <c r="B1586" s="1">
        <v>13162</v>
      </c>
      <c r="C1586" t="s">
        <v>1331</v>
      </c>
      <c r="D1586" t="s">
        <v>30</v>
      </c>
    </row>
    <row r="1587" spans="1:4" x14ac:dyDescent="0.25">
      <c r="A1587" s="2" t="s">
        <v>1334</v>
      </c>
      <c r="B1587" s="1">
        <v>13246</v>
      </c>
      <c r="C1587" t="s">
        <v>1331</v>
      </c>
      <c r="D1587" t="s">
        <v>30</v>
      </c>
    </row>
    <row r="1588" spans="1:4" x14ac:dyDescent="0.25">
      <c r="A1588" s="2" t="s">
        <v>1335</v>
      </c>
      <c r="B1588" s="1">
        <v>13246</v>
      </c>
      <c r="C1588" t="s">
        <v>1331</v>
      </c>
      <c r="D1588" t="s">
        <v>30</v>
      </c>
    </row>
    <row r="1589" spans="1:4" x14ac:dyDescent="0.25">
      <c r="A1589" s="2" t="s">
        <v>1336</v>
      </c>
      <c r="B1589" s="1">
        <v>13246</v>
      </c>
      <c r="C1589" t="s">
        <v>1331</v>
      </c>
      <c r="D1589" t="s">
        <v>30</v>
      </c>
    </row>
    <row r="1590" spans="1:4" x14ac:dyDescent="0.25">
      <c r="A1590" s="2" t="s">
        <v>1337</v>
      </c>
      <c r="B1590" s="1">
        <v>13246</v>
      </c>
      <c r="C1590" t="s">
        <v>1331</v>
      </c>
      <c r="D1590" t="s">
        <v>30</v>
      </c>
    </row>
    <row r="1591" spans="1:4" x14ac:dyDescent="0.25">
      <c r="A1591" s="2" t="s">
        <v>1338</v>
      </c>
      <c r="B1591" s="1">
        <v>13246</v>
      </c>
      <c r="C1591" t="s">
        <v>1331</v>
      </c>
      <c r="D1591" t="s">
        <v>30</v>
      </c>
    </row>
    <row r="1592" spans="1:4" x14ac:dyDescent="0.25">
      <c r="A1592" s="2" t="s">
        <v>1339</v>
      </c>
      <c r="B1592" s="1">
        <v>13284</v>
      </c>
      <c r="C1592" t="s">
        <v>1331</v>
      </c>
      <c r="D1592" t="s">
        <v>30</v>
      </c>
    </row>
    <row r="1593" spans="1:4" x14ac:dyDescent="0.25">
      <c r="A1593" s="2" t="s">
        <v>1340</v>
      </c>
      <c r="B1593" s="1">
        <v>13333</v>
      </c>
      <c r="C1593" t="s">
        <v>1331</v>
      </c>
      <c r="D1593" t="s">
        <v>30</v>
      </c>
    </row>
    <row r="1594" spans="1:4" x14ac:dyDescent="0.25">
      <c r="A1594" s="2" t="s">
        <v>1341</v>
      </c>
      <c r="B1594" s="1">
        <v>13271</v>
      </c>
      <c r="C1594" t="s">
        <v>1331</v>
      </c>
      <c r="D1594" t="s">
        <v>30</v>
      </c>
    </row>
    <row r="1595" spans="1:4" x14ac:dyDescent="0.25">
      <c r="A1595" s="2" t="s">
        <v>1342</v>
      </c>
      <c r="B1595" s="1">
        <v>13299</v>
      </c>
      <c r="C1595" t="s">
        <v>1331</v>
      </c>
      <c r="D1595" t="s">
        <v>30</v>
      </c>
    </row>
    <row r="1596" spans="1:4" x14ac:dyDescent="0.25">
      <c r="A1596" s="2" t="s">
        <v>1343</v>
      </c>
      <c r="B1596" s="1">
        <v>13311</v>
      </c>
      <c r="C1596" t="s">
        <v>1331</v>
      </c>
      <c r="D1596" t="s">
        <v>30</v>
      </c>
    </row>
    <row r="1597" spans="1:4" x14ac:dyDescent="0.25">
      <c r="A1597" s="2" t="s">
        <v>1344</v>
      </c>
      <c r="B1597" s="1">
        <v>13311</v>
      </c>
      <c r="C1597" t="s">
        <v>1331</v>
      </c>
      <c r="D1597" t="s">
        <v>30</v>
      </c>
    </row>
    <row r="1598" spans="1:4" x14ac:dyDescent="0.25">
      <c r="A1598" s="2" t="s">
        <v>1345</v>
      </c>
      <c r="B1598" s="1">
        <v>13311</v>
      </c>
      <c r="C1598" t="s">
        <v>1331</v>
      </c>
      <c r="D1598" t="s">
        <v>30</v>
      </c>
    </row>
    <row r="1599" spans="1:4" x14ac:dyDescent="0.25">
      <c r="A1599" s="2" t="s">
        <v>1346</v>
      </c>
      <c r="B1599" s="1">
        <v>13328</v>
      </c>
      <c r="C1599" t="s">
        <v>1331</v>
      </c>
      <c r="D1599" t="s">
        <v>30</v>
      </c>
    </row>
    <row r="1600" spans="1:4" x14ac:dyDescent="0.25">
      <c r="A1600" s="2" t="s">
        <v>1347</v>
      </c>
      <c r="B1600" s="1">
        <v>13278</v>
      </c>
      <c r="C1600" t="s">
        <v>1331</v>
      </c>
      <c r="D1600" t="s">
        <v>30</v>
      </c>
    </row>
    <row r="1601" spans="1:4" x14ac:dyDescent="0.25">
      <c r="A1601" s="2" t="s">
        <v>1348</v>
      </c>
      <c r="B1601" s="1">
        <v>13319</v>
      </c>
      <c r="C1601" t="s">
        <v>1331</v>
      </c>
      <c r="D1601" t="s">
        <v>30</v>
      </c>
    </row>
    <row r="1602" spans="1:4" x14ac:dyDescent="0.25">
      <c r="A1602" s="2" t="s">
        <v>1349</v>
      </c>
      <c r="B1602" s="1">
        <v>13467</v>
      </c>
      <c r="C1602" t="s">
        <v>1331</v>
      </c>
      <c r="D1602" t="s">
        <v>30</v>
      </c>
    </row>
    <row r="1603" spans="1:4" x14ac:dyDescent="0.25">
      <c r="A1603" s="2" t="s">
        <v>1350</v>
      </c>
      <c r="B1603" s="1">
        <v>13573</v>
      </c>
      <c r="C1603" t="s">
        <v>1331</v>
      </c>
      <c r="D1603" t="s">
        <v>30</v>
      </c>
    </row>
    <row r="1604" spans="1:4" x14ac:dyDescent="0.25">
      <c r="A1604" s="2" t="s">
        <v>1351</v>
      </c>
      <c r="B1604" s="1">
        <v>13573</v>
      </c>
      <c r="C1604" t="s">
        <v>1331</v>
      </c>
      <c r="D1604" t="s">
        <v>30</v>
      </c>
    </row>
    <row r="1605" spans="1:4" x14ac:dyDescent="0.25">
      <c r="A1605" s="2" t="s">
        <v>1352</v>
      </c>
      <c r="B1605" s="1">
        <v>13573</v>
      </c>
      <c r="C1605" t="s">
        <v>1331</v>
      </c>
      <c r="D1605" t="s">
        <v>30</v>
      </c>
    </row>
    <row r="1606" spans="1:4" x14ac:dyDescent="0.25">
      <c r="A1606" s="2" t="s">
        <v>1353</v>
      </c>
      <c r="B1606" s="1">
        <v>13607</v>
      </c>
      <c r="C1606" t="s">
        <v>1331</v>
      </c>
      <c r="D1606" t="s">
        <v>30</v>
      </c>
    </row>
    <row r="1607" spans="1:4" x14ac:dyDescent="0.25">
      <c r="A1607" s="2" t="s">
        <v>1354</v>
      </c>
      <c r="B1607" s="1">
        <v>13606</v>
      </c>
      <c r="C1607" t="s">
        <v>1331</v>
      </c>
      <c r="D1607" t="s">
        <v>30</v>
      </c>
    </row>
    <row r="1608" spans="1:4" x14ac:dyDescent="0.25">
      <c r="A1608" s="2" t="s">
        <v>1355</v>
      </c>
      <c r="B1608" s="1">
        <v>13671</v>
      </c>
      <c r="C1608" t="s">
        <v>1331</v>
      </c>
      <c r="D1608" t="s">
        <v>30</v>
      </c>
    </row>
    <row r="1609" spans="1:4" x14ac:dyDescent="0.25">
      <c r="A1609" s="2" t="s">
        <v>1356</v>
      </c>
      <c r="B1609" s="1">
        <v>13615</v>
      </c>
      <c r="C1609" t="s">
        <v>1331</v>
      </c>
      <c r="D1609" t="s">
        <v>30</v>
      </c>
    </row>
    <row r="1610" spans="1:4" x14ac:dyDescent="0.25">
      <c r="A1610" s="2" t="s">
        <v>1357</v>
      </c>
      <c r="B1610" s="1">
        <v>13575</v>
      </c>
      <c r="C1610" t="s">
        <v>1331</v>
      </c>
      <c r="D1610" t="s">
        <v>30</v>
      </c>
    </row>
    <row r="1611" spans="1:4" x14ac:dyDescent="0.25">
      <c r="A1611" s="2" t="s">
        <v>1358</v>
      </c>
      <c r="B1611" s="1">
        <v>13575</v>
      </c>
      <c r="C1611" t="s">
        <v>1331</v>
      </c>
      <c r="D1611" t="s">
        <v>30</v>
      </c>
    </row>
    <row r="1612" spans="1:4" x14ac:dyDescent="0.25">
      <c r="A1612" s="2" t="s">
        <v>1359</v>
      </c>
      <c r="B1612" s="1">
        <v>13575</v>
      </c>
      <c r="C1612" t="s">
        <v>1331</v>
      </c>
      <c r="D1612" t="s">
        <v>30</v>
      </c>
    </row>
    <row r="1613" spans="1:4" x14ac:dyDescent="0.25">
      <c r="A1613" s="2" t="s">
        <v>1360</v>
      </c>
      <c r="B1613" s="1">
        <v>13641</v>
      </c>
      <c r="C1613" t="s">
        <v>1331</v>
      </c>
      <c r="D1613" t="s">
        <v>30</v>
      </c>
    </row>
    <row r="1614" spans="1:4" x14ac:dyDescent="0.25">
      <c r="A1614" s="2" t="s">
        <v>1361</v>
      </c>
      <c r="B1614" s="1">
        <v>13615</v>
      </c>
      <c r="C1614" t="s">
        <v>1331</v>
      </c>
      <c r="D1614" t="s">
        <v>30</v>
      </c>
    </row>
    <row r="1615" spans="1:4" x14ac:dyDescent="0.25">
      <c r="A1615" s="2" t="s">
        <v>1362</v>
      </c>
      <c r="B1615" s="1">
        <v>13671</v>
      </c>
      <c r="C1615" t="s">
        <v>1363</v>
      </c>
      <c r="D1615" t="s">
        <v>30</v>
      </c>
    </row>
    <row r="1616" spans="1:4" x14ac:dyDescent="0.25">
      <c r="A1616" s="2" t="s">
        <v>1364</v>
      </c>
      <c r="B1616" s="1">
        <v>13695</v>
      </c>
      <c r="C1616" t="s">
        <v>1363</v>
      </c>
      <c r="D1616" t="s">
        <v>30</v>
      </c>
    </row>
    <row r="1617" spans="1:4" x14ac:dyDescent="0.25">
      <c r="A1617" s="2" t="s">
        <v>1365</v>
      </c>
      <c r="B1617" s="1">
        <v>13612</v>
      </c>
      <c r="C1617" t="s">
        <v>1363</v>
      </c>
      <c r="D1617" t="s">
        <v>30</v>
      </c>
    </row>
    <row r="1618" spans="1:4" x14ac:dyDescent="0.25">
      <c r="A1618" s="2" t="s">
        <v>1366</v>
      </c>
      <c r="B1618" s="1">
        <v>13612</v>
      </c>
      <c r="C1618" t="s">
        <v>1363</v>
      </c>
      <c r="D1618" t="s">
        <v>30</v>
      </c>
    </row>
    <row r="1619" spans="1:4" x14ac:dyDescent="0.25">
      <c r="A1619" s="2" t="s">
        <v>1367</v>
      </c>
      <c r="B1619" s="1">
        <v>13612</v>
      </c>
      <c r="C1619" t="s">
        <v>1363</v>
      </c>
      <c r="D1619" t="s">
        <v>30</v>
      </c>
    </row>
    <row r="1620" spans="1:4" x14ac:dyDescent="0.25">
      <c r="A1620" s="2" t="s">
        <v>1368</v>
      </c>
      <c r="B1620" s="1">
        <v>13478</v>
      </c>
      <c r="C1620" t="s">
        <v>1363</v>
      </c>
      <c r="D1620" t="s">
        <v>30</v>
      </c>
    </row>
    <row r="1621" spans="1:4" x14ac:dyDescent="0.25">
      <c r="A1621" s="2" t="s">
        <v>1369</v>
      </c>
      <c r="B1621" s="1">
        <v>13375</v>
      </c>
      <c r="C1621" t="s">
        <v>1363</v>
      </c>
      <c r="D1621" t="s">
        <v>30</v>
      </c>
    </row>
    <row r="1622" spans="1:4" x14ac:dyDescent="0.25">
      <c r="A1622" s="2" t="s">
        <v>1370</v>
      </c>
      <c r="B1622" s="1">
        <v>13241</v>
      </c>
      <c r="C1622" t="s">
        <v>1363</v>
      </c>
      <c r="D1622" t="s">
        <v>30</v>
      </c>
    </row>
    <row r="1623" spans="1:4" x14ac:dyDescent="0.25">
      <c r="A1623" s="2" t="s">
        <v>1371</v>
      </c>
      <c r="B1623" s="1">
        <v>13231</v>
      </c>
      <c r="C1623" t="s">
        <v>1363</v>
      </c>
      <c r="D1623" t="s">
        <v>30</v>
      </c>
    </row>
    <row r="1624" spans="1:4" x14ac:dyDescent="0.25">
      <c r="A1624" s="2" t="s">
        <v>1372</v>
      </c>
      <c r="B1624" s="1">
        <v>13309</v>
      </c>
      <c r="C1624" t="s">
        <v>1363</v>
      </c>
      <c r="D1624" t="s">
        <v>30</v>
      </c>
    </row>
    <row r="1625" spans="1:4" x14ac:dyDescent="0.25">
      <c r="A1625" s="2" t="s">
        <v>1373</v>
      </c>
      <c r="B1625" s="1">
        <v>13309</v>
      </c>
      <c r="C1625" t="s">
        <v>1363</v>
      </c>
      <c r="D1625" t="s">
        <v>30</v>
      </c>
    </row>
    <row r="1626" spans="1:4" x14ac:dyDescent="0.25">
      <c r="A1626" s="2" t="s">
        <v>1374</v>
      </c>
      <c r="B1626" s="1">
        <v>13309</v>
      </c>
      <c r="C1626" t="s">
        <v>1363</v>
      </c>
      <c r="D1626" t="s">
        <v>30</v>
      </c>
    </row>
    <row r="1627" spans="1:4" x14ac:dyDescent="0.25">
      <c r="A1627" s="2" t="s">
        <v>1375</v>
      </c>
      <c r="B1627" s="1">
        <v>13341</v>
      </c>
      <c r="C1627" t="s">
        <v>1363</v>
      </c>
      <c r="D1627" t="s">
        <v>30</v>
      </c>
    </row>
    <row r="1628" spans="1:4" x14ac:dyDescent="0.25">
      <c r="A1628" s="2" t="s">
        <v>1376</v>
      </c>
      <c r="B1628" s="1">
        <v>13273</v>
      </c>
      <c r="C1628" t="s">
        <v>1363</v>
      </c>
      <c r="D1628" t="s">
        <v>30</v>
      </c>
    </row>
    <row r="1629" spans="1:4" x14ac:dyDescent="0.25">
      <c r="A1629" s="2" t="s">
        <v>1377</v>
      </c>
      <c r="B1629" s="1">
        <v>13398</v>
      </c>
      <c r="C1629" t="s">
        <v>1363</v>
      </c>
      <c r="D1629" t="s">
        <v>30</v>
      </c>
    </row>
    <row r="1630" spans="1:4" x14ac:dyDescent="0.25">
      <c r="A1630" s="2" t="s">
        <v>1378</v>
      </c>
      <c r="B1630" s="1">
        <v>13327</v>
      </c>
      <c r="C1630" t="s">
        <v>1363</v>
      </c>
      <c r="D1630" t="s">
        <v>30</v>
      </c>
    </row>
    <row r="1631" spans="1:4" x14ac:dyDescent="0.25">
      <c r="A1631" s="2" t="s">
        <v>1379</v>
      </c>
      <c r="B1631" s="1">
        <v>13358</v>
      </c>
      <c r="C1631" t="s">
        <v>1363</v>
      </c>
      <c r="D1631" t="s">
        <v>30</v>
      </c>
    </row>
    <row r="1632" spans="1:4" x14ac:dyDescent="0.25">
      <c r="A1632" s="2" t="s">
        <v>1380</v>
      </c>
      <c r="B1632" s="1">
        <v>13358</v>
      </c>
      <c r="C1632" t="s">
        <v>1363</v>
      </c>
      <c r="D1632" t="s">
        <v>30</v>
      </c>
    </row>
    <row r="1633" spans="1:4" x14ac:dyDescent="0.25">
      <c r="A1633" s="2" t="s">
        <v>1381</v>
      </c>
      <c r="B1633" s="1">
        <v>13358</v>
      </c>
      <c r="C1633" t="s">
        <v>1363</v>
      </c>
      <c r="D1633" t="s">
        <v>30</v>
      </c>
    </row>
    <row r="1634" spans="1:4" x14ac:dyDescent="0.25">
      <c r="A1634" s="2" t="s">
        <v>1382</v>
      </c>
      <c r="B1634" s="1">
        <v>13260</v>
      </c>
      <c r="C1634" t="s">
        <v>1363</v>
      </c>
      <c r="D1634" t="s">
        <v>30</v>
      </c>
    </row>
    <row r="1635" spans="1:4" x14ac:dyDescent="0.25">
      <c r="A1635" s="2" t="s">
        <v>1383</v>
      </c>
      <c r="B1635" s="1">
        <v>13286</v>
      </c>
      <c r="C1635" t="s">
        <v>1363</v>
      </c>
      <c r="D1635" t="s">
        <v>30</v>
      </c>
    </row>
    <row r="1636" spans="1:4" x14ac:dyDescent="0.25">
      <c r="A1636" s="2" t="s">
        <v>1384</v>
      </c>
      <c r="B1636" s="1">
        <v>13298</v>
      </c>
      <c r="C1636" t="s">
        <v>1363</v>
      </c>
      <c r="D1636" t="s">
        <v>30</v>
      </c>
    </row>
    <row r="1637" spans="1:4" x14ac:dyDescent="0.25">
      <c r="A1637" s="2" t="s">
        <v>1385</v>
      </c>
      <c r="B1637" s="1">
        <v>13265</v>
      </c>
      <c r="C1637" t="s">
        <v>1363</v>
      </c>
      <c r="D1637" t="s">
        <v>30</v>
      </c>
    </row>
    <row r="1638" spans="1:4" x14ac:dyDescent="0.25">
      <c r="A1638" s="2" t="s">
        <v>1386</v>
      </c>
      <c r="B1638" s="1">
        <v>13296</v>
      </c>
      <c r="C1638" t="s">
        <v>1363</v>
      </c>
      <c r="D1638" t="s">
        <v>30</v>
      </c>
    </row>
    <row r="1639" spans="1:4" x14ac:dyDescent="0.25">
      <c r="A1639" s="2" t="s">
        <v>1387</v>
      </c>
      <c r="B1639" s="1">
        <v>13296</v>
      </c>
      <c r="C1639" t="s">
        <v>1363</v>
      </c>
      <c r="D1639" t="s">
        <v>30</v>
      </c>
    </row>
    <row r="1640" spans="1:4" x14ac:dyDescent="0.25">
      <c r="A1640" s="2" t="s">
        <v>1388</v>
      </c>
      <c r="B1640" s="1">
        <v>13296</v>
      </c>
      <c r="C1640" t="s">
        <v>1363</v>
      </c>
      <c r="D1640" t="s">
        <v>30</v>
      </c>
    </row>
    <row r="1641" spans="1:4" x14ac:dyDescent="0.25">
      <c r="A1641" s="2" t="s">
        <v>1389</v>
      </c>
      <c r="B1641" s="1">
        <v>13495</v>
      </c>
      <c r="C1641" t="s">
        <v>1363</v>
      </c>
      <c r="D1641" t="s">
        <v>30</v>
      </c>
    </row>
    <row r="1642" spans="1:4" x14ac:dyDescent="0.25">
      <c r="A1642" s="2" t="s">
        <v>1390</v>
      </c>
      <c r="B1642" s="1">
        <v>13256</v>
      </c>
      <c r="C1642" t="s">
        <v>1363</v>
      </c>
      <c r="D1642" t="s">
        <v>30</v>
      </c>
    </row>
    <row r="1643" spans="1:4" x14ac:dyDescent="0.25">
      <c r="A1643" s="2" t="s">
        <v>1391</v>
      </c>
      <c r="B1643" s="1">
        <v>13166</v>
      </c>
      <c r="C1643" t="s">
        <v>1363</v>
      </c>
      <c r="D1643" t="s">
        <v>30</v>
      </c>
    </row>
    <row r="1644" spans="1:4" x14ac:dyDescent="0.25">
      <c r="A1644" s="2" t="s">
        <v>1392</v>
      </c>
      <c r="B1644" s="1">
        <v>13180</v>
      </c>
      <c r="C1644" t="s">
        <v>1363</v>
      </c>
      <c r="D1644" t="s">
        <v>30</v>
      </c>
    </row>
    <row r="1645" spans="1:4" x14ac:dyDescent="0.25">
      <c r="A1645" s="2" t="s">
        <v>1393</v>
      </c>
      <c r="B1645" s="1">
        <v>13172</v>
      </c>
      <c r="C1645" t="s">
        <v>1394</v>
      </c>
      <c r="D1645" t="s">
        <v>31</v>
      </c>
    </row>
    <row r="1646" spans="1:4" x14ac:dyDescent="0.25">
      <c r="A1646" s="2" t="s">
        <v>1395</v>
      </c>
      <c r="B1646" s="1">
        <v>13172</v>
      </c>
      <c r="C1646" t="s">
        <v>1394</v>
      </c>
      <c r="D1646" t="s">
        <v>31</v>
      </c>
    </row>
    <row r="1647" spans="1:4" x14ac:dyDescent="0.25">
      <c r="A1647" s="2" t="s">
        <v>1396</v>
      </c>
      <c r="B1647" s="1">
        <v>13172</v>
      </c>
      <c r="C1647" t="s">
        <v>1394</v>
      </c>
      <c r="D1647" t="s">
        <v>31</v>
      </c>
    </row>
    <row r="1648" spans="1:4" x14ac:dyDescent="0.25">
      <c r="A1648" s="2" t="s">
        <v>1397</v>
      </c>
      <c r="B1648" s="1">
        <v>13172</v>
      </c>
      <c r="C1648" t="s">
        <v>1394</v>
      </c>
      <c r="D1648" t="s">
        <v>31</v>
      </c>
    </row>
    <row r="1649" spans="1:4" x14ac:dyDescent="0.25">
      <c r="A1649" s="2" t="s">
        <v>1398</v>
      </c>
      <c r="B1649" s="1">
        <v>13172</v>
      </c>
      <c r="C1649" t="s">
        <v>1394</v>
      </c>
      <c r="D1649" t="s">
        <v>31</v>
      </c>
    </row>
    <row r="1650" spans="1:4" x14ac:dyDescent="0.25">
      <c r="A1650" s="2" t="s">
        <v>1399</v>
      </c>
      <c r="B1650" s="1">
        <v>13172</v>
      </c>
      <c r="C1650" t="s">
        <v>1394</v>
      </c>
      <c r="D1650" t="s">
        <v>31</v>
      </c>
    </row>
    <row r="1651" spans="1:4" x14ac:dyDescent="0.25">
      <c r="A1651" s="2" t="s">
        <v>1400</v>
      </c>
      <c r="B1651" s="1">
        <v>13172</v>
      </c>
      <c r="C1651" t="s">
        <v>1394</v>
      </c>
      <c r="D1651" t="s">
        <v>31</v>
      </c>
    </row>
    <row r="1652" spans="1:4" x14ac:dyDescent="0.25">
      <c r="A1652" s="2" t="s">
        <v>1401</v>
      </c>
      <c r="B1652" s="1">
        <v>13172</v>
      </c>
      <c r="C1652" t="s">
        <v>1394</v>
      </c>
      <c r="D1652" t="s">
        <v>31</v>
      </c>
    </row>
    <row r="1653" spans="1:4" x14ac:dyDescent="0.25">
      <c r="A1653" s="2" t="s">
        <v>1402</v>
      </c>
      <c r="B1653" s="1">
        <v>13172</v>
      </c>
      <c r="C1653" t="s">
        <v>1394</v>
      </c>
      <c r="D1653" t="s">
        <v>31</v>
      </c>
    </row>
    <row r="1654" spans="1:4" x14ac:dyDescent="0.25">
      <c r="A1654" s="2" t="s">
        <v>1403</v>
      </c>
      <c r="B1654" s="1">
        <v>13172</v>
      </c>
      <c r="C1654" t="s">
        <v>1394</v>
      </c>
      <c r="D1654" t="s">
        <v>31</v>
      </c>
    </row>
    <row r="1655" spans="1:4" x14ac:dyDescent="0.25">
      <c r="A1655" s="2" t="s">
        <v>1404</v>
      </c>
      <c r="B1655" s="1">
        <v>13112</v>
      </c>
      <c r="C1655" t="s">
        <v>1394</v>
      </c>
      <c r="D1655" t="s">
        <v>31</v>
      </c>
    </row>
    <row r="1656" spans="1:4" x14ac:dyDescent="0.25">
      <c r="A1656" s="2" t="s">
        <v>1405</v>
      </c>
      <c r="B1656" s="1">
        <v>13151</v>
      </c>
      <c r="C1656" t="s">
        <v>1394</v>
      </c>
      <c r="D1656" t="s">
        <v>31</v>
      </c>
    </row>
    <row r="1657" spans="1:4" x14ac:dyDescent="0.25">
      <c r="A1657" s="2" t="s">
        <v>1406</v>
      </c>
      <c r="B1657" s="1">
        <v>13095</v>
      </c>
      <c r="C1657" t="s">
        <v>1394</v>
      </c>
      <c r="D1657" t="s">
        <v>31</v>
      </c>
    </row>
    <row r="1658" spans="1:4" x14ac:dyDescent="0.25">
      <c r="A1658" s="2" t="s">
        <v>1407</v>
      </c>
      <c r="B1658" s="1">
        <v>13088</v>
      </c>
      <c r="C1658" t="s">
        <v>1394</v>
      </c>
      <c r="D1658" t="s">
        <v>31</v>
      </c>
    </row>
    <row r="1659" spans="1:4" x14ac:dyDescent="0.25">
      <c r="A1659" s="2" t="s">
        <v>1408</v>
      </c>
      <c r="B1659" s="1">
        <v>13086</v>
      </c>
      <c r="C1659" t="s">
        <v>1394</v>
      </c>
      <c r="D1659" t="s">
        <v>31</v>
      </c>
    </row>
    <row r="1660" spans="1:4" x14ac:dyDescent="0.25">
      <c r="A1660" s="2" t="s">
        <v>1409</v>
      </c>
      <c r="B1660" s="1">
        <v>13086</v>
      </c>
      <c r="C1660" t="s">
        <v>1394</v>
      </c>
      <c r="D1660" t="s">
        <v>31</v>
      </c>
    </row>
    <row r="1661" spans="1:4" x14ac:dyDescent="0.25">
      <c r="A1661" s="2" t="s">
        <v>1410</v>
      </c>
      <c r="B1661" s="1">
        <v>13086</v>
      </c>
      <c r="C1661" t="s">
        <v>1394</v>
      </c>
      <c r="D1661" t="s">
        <v>31</v>
      </c>
    </row>
    <row r="1662" spans="1:4" x14ac:dyDescent="0.25">
      <c r="A1662" s="2" t="s">
        <v>1411</v>
      </c>
      <c r="B1662" s="1">
        <v>13112</v>
      </c>
      <c r="C1662" t="s">
        <v>1394</v>
      </c>
      <c r="D1662" t="s">
        <v>31</v>
      </c>
    </row>
    <row r="1663" spans="1:4" x14ac:dyDescent="0.25">
      <c r="A1663" s="2" t="s">
        <v>1412</v>
      </c>
      <c r="B1663" s="1">
        <v>13086</v>
      </c>
      <c r="C1663" t="s">
        <v>1394</v>
      </c>
      <c r="D1663" t="s">
        <v>31</v>
      </c>
    </row>
    <row r="1664" spans="1:4" x14ac:dyDescent="0.25">
      <c r="A1664" s="2" t="s">
        <v>1413</v>
      </c>
      <c r="B1664" s="1">
        <v>13100</v>
      </c>
      <c r="C1664" t="s">
        <v>1394</v>
      </c>
      <c r="D1664" t="s">
        <v>31</v>
      </c>
    </row>
    <row r="1665" spans="1:4" x14ac:dyDescent="0.25">
      <c r="A1665" s="2" t="s">
        <v>1414</v>
      </c>
      <c r="B1665" s="1">
        <v>13122</v>
      </c>
      <c r="C1665" t="s">
        <v>1394</v>
      </c>
      <c r="D1665" t="s">
        <v>31</v>
      </c>
    </row>
    <row r="1666" spans="1:4" x14ac:dyDescent="0.25">
      <c r="A1666" s="2" t="s">
        <v>1415</v>
      </c>
      <c r="B1666" s="1">
        <v>13102</v>
      </c>
      <c r="C1666" t="s">
        <v>1394</v>
      </c>
      <c r="D1666" t="s">
        <v>31</v>
      </c>
    </row>
    <row r="1667" spans="1:4" x14ac:dyDescent="0.25">
      <c r="A1667" s="2" t="s">
        <v>1416</v>
      </c>
      <c r="B1667" s="1">
        <v>13102</v>
      </c>
      <c r="C1667" t="s">
        <v>1394</v>
      </c>
      <c r="D1667" t="s">
        <v>31</v>
      </c>
    </row>
    <row r="1668" spans="1:4" x14ac:dyDescent="0.25">
      <c r="A1668" s="2" t="s">
        <v>1417</v>
      </c>
      <c r="B1668" s="1">
        <v>13102</v>
      </c>
      <c r="C1668" t="s">
        <v>1394</v>
      </c>
      <c r="D1668" t="s">
        <v>31</v>
      </c>
    </row>
    <row r="1669" spans="1:4" x14ac:dyDescent="0.25">
      <c r="A1669" s="2" t="s">
        <v>1418</v>
      </c>
      <c r="B1669" s="1">
        <v>13135</v>
      </c>
      <c r="C1669" t="s">
        <v>1394</v>
      </c>
      <c r="D1669" t="s">
        <v>31</v>
      </c>
    </row>
    <row r="1670" spans="1:4" x14ac:dyDescent="0.25">
      <c r="A1670" s="2" t="s">
        <v>1419</v>
      </c>
      <c r="B1670" s="1">
        <v>13150</v>
      </c>
      <c r="C1670" t="s">
        <v>1394</v>
      </c>
      <c r="D1670" t="s">
        <v>31</v>
      </c>
    </row>
    <row r="1671" spans="1:4" x14ac:dyDescent="0.25">
      <c r="A1671" s="2" t="s">
        <v>1420</v>
      </c>
      <c r="B1671" s="1">
        <v>13130</v>
      </c>
      <c r="C1671" t="s">
        <v>1394</v>
      </c>
      <c r="D1671" t="s">
        <v>31</v>
      </c>
    </row>
    <row r="1672" spans="1:4" x14ac:dyDescent="0.25">
      <c r="A1672" s="2" t="s">
        <v>1421</v>
      </c>
      <c r="B1672" s="1">
        <v>13113</v>
      </c>
      <c r="C1672" t="s">
        <v>1394</v>
      </c>
      <c r="D1672" t="s">
        <v>31</v>
      </c>
    </row>
    <row r="1673" spans="1:4" x14ac:dyDescent="0.25">
      <c r="A1673" s="2" t="s">
        <v>1422</v>
      </c>
      <c r="B1673" s="1">
        <v>13094</v>
      </c>
      <c r="C1673" t="s">
        <v>1394</v>
      </c>
      <c r="D1673" t="s">
        <v>31</v>
      </c>
    </row>
    <row r="1674" spans="1:4" x14ac:dyDescent="0.25">
      <c r="A1674" s="2" t="s">
        <v>1423</v>
      </c>
      <c r="B1674" s="1">
        <v>13094</v>
      </c>
      <c r="C1674" t="s">
        <v>1394</v>
      </c>
      <c r="D1674" t="s">
        <v>31</v>
      </c>
    </row>
    <row r="1675" spans="1:4" x14ac:dyDescent="0.25">
      <c r="A1675" s="2" t="s">
        <v>1424</v>
      </c>
      <c r="B1675" s="1">
        <v>13094</v>
      </c>
      <c r="C1675" t="s">
        <v>1394</v>
      </c>
      <c r="D1675" t="s">
        <v>31</v>
      </c>
    </row>
    <row r="1676" spans="1:4" x14ac:dyDescent="0.25">
      <c r="A1676" s="2" t="s">
        <v>1425</v>
      </c>
      <c r="B1676" s="1">
        <v>13080</v>
      </c>
      <c r="C1676" t="s">
        <v>1426</v>
      </c>
      <c r="D1676" t="s">
        <v>31</v>
      </c>
    </row>
    <row r="1677" spans="1:4" x14ac:dyDescent="0.25">
      <c r="A1677" s="2" t="s">
        <v>1427</v>
      </c>
      <c r="B1677" s="1">
        <v>13079</v>
      </c>
      <c r="C1677" t="s">
        <v>1426</v>
      </c>
      <c r="D1677" t="s">
        <v>31</v>
      </c>
    </row>
    <row r="1678" spans="1:4" x14ac:dyDescent="0.25">
      <c r="A1678" s="2" t="s">
        <v>1428</v>
      </c>
      <c r="B1678" s="1">
        <v>13114</v>
      </c>
      <c r="C1678" t="s">
        <v>1426</v>
      </c>
      <c r="D1678" t="s">
        <v>31</v>
      </c>
    </row>
    <row r="1679" spans="1:4" x14ac:dyDescent="0.25">
      <c r="A1679" s="2" t="s">
        <v>1429</v>
      </c>
      <c r="B1679" s="1">
        <v>13138</v>
      </c>
      <c r="C1679" t="s">
        <v>1426</v>
      </c>
      <c r="D1679" t="s">
        <v>31</v>
      </c>
    </row>
    <row r="1680" spans="1:4" x14ac:dyDescent="0.25">
      <c r="A1680" s="2" t="s">
        <v>1430</v>
      </c>
      <c r="B1680" s="1">
        <v>13125</v>
      </c>
      <c r="C1680" t="s">
        <v>1426</v>
      </c>
      <c r="D1680" t="s">
        <v>31</v>
      </c>
    </row>
    <row r="1681" spans="1:4" x14ac:dyDescent="0.25">
      <c r="A1681" s="2" t="s">
        <v>1431</v>
      </c>
      <c r="B1681" s="1">
        <v>13125</v>
      </c>
      <c r="C1681" t="s">
        <v>1426</v>
      </c>
      <c r="D1681" t="s">
        <v>31</v>
      </c>
    </row>
    <row r="1682" spans="1:4" x14ac:dyDescent="0.25">
      <c r="A1682" s="2" t="s">
        <v>1432</v>
      </c>
      <c r="B1682" s="1">
        <v>13125</v>
      </c>
      <c r="C1682" t="s">
        <v>1426</v>
      </c>
      <c r="D1682" t="s">
        <v>31</v>
      </c>
    </row>
    <row r="1683" spans="1:4" x14ac:dyDescent="0.25">
      <c r="A1683" s="2" t="s">
        <v>1433</v>
      </c>
      <c r="B1683" s="1">
        <v>13144</v>
      </c>
      <c r="C1683" t="s">
        <v>1426</v>
      </c>
      <c r="D1683" t="s">
        <v>31</v>
      </c>
    </row>
    <row r="1684" spans="1:4" x14ac:dyDescent="0.25">
      <c r="A1684" s="2" t="s">
        <v>1434</v>
      </c>
      <c r="B1684" s="1">
        <v>13133</v>
      </c>
      <c r="C1684" t="s">
        <v>1426</v>
      </c>
      <c r="D1684" t="s">
        <v>31</v>
      </c>
    </row>
    <row r="1685" spans="1:4" x14ac:dyDescent="0.25">
      <c r="A1685" s="2" t="s">
        <v>1435</v>
      </c>
      <c r="B1685" s="1">
        <v>13123</v>
      </c>
      <c r="C1685" t="s">
        <v>1426</v>
      </c>
      <c r="D1685" t="s">
        <v>31</v>
      </c>
    </row>
    <row r="1686" spans="1:4" x14ac:dyDescent="0.25">
      <c r="A1686" s="2" t="s">
        <v>1436</v>
      </c>
      <c r="B1686" s="1">
        <v>13113</v>
      </c>
      <c r="C1686" t="s">
        <v>1426</v>
      </c>
      <c r="D1686" t="s">
        <v>31</v>
      </c>
    </row>
    <row r="1687" spans="1:4" x14ac:dyDescent="0.25">
      <c r="A1687" s="2" t="s">
        <v>1437</v>
      </c>
      <c r="B1687" s="1">
        <v>13120</v>
      </c>
      <c r="C1687" t="s">
        <v>1426</v>
      </c>
      <c r="D1687" t="s">
        <v>31</v>
      </c>
    </row>
    <row r="1688" spans="1:4" x14ac:dyDescent="0.25">
      <c r="A1688" s="2" t="s">
        <v>1438</v>
      </c>
      <c r="B1688" s="1">
        <v>13120</v>
      </c>
      <c r="C1688" t="s">
        <v>1426</v>
      </c>
      <c r="D1688" t="s">
        <v>31</v>
      </c>
    </row>
    <row r="1689" spans="1:4" x14ac:dyDescent="0.25">
      <c r="A1689" s="2" t="s">
        <v>1439</v>
      </c>
      <c r="B1689" s="1">
        <v>13120</v>
      </c>
      <c r="C1689" t="s">
        <v>1426</v>
      </c>
      <c r="D1689" t="s">
        <v>31</v>
      </c>
    </row>
    <row r="1690" spans="1:4" x14ac:dyDescent="0.25">
      <c r="A1690" s="2" t="s">
        <v>1440</v>
      </c>
      <c r="B1690" s="1">
        <v>13121</v>
      </c>
      <c r="C1690" t="s">
        <v>1426</v>
      </c>
      <c r="D1690" t="s">
        <v>31</v>
      </c>
    </row>
    <row r="1691" spans="1:4" x14ac:dyDescent="0.25">
      <c r="A1691" s="2" t="s">
        <v>1441</v>
      </c>
      <c r="B1691" s="1">
        <v>13098</v>
      </c>
      <c r="C1691" t="s">
        <v>1426</v>
      </c>
      <c r="D1691" t="s">
        <v>31</v>
      </c>
    </row>
    <row r="1692" spans="1:4" x14ac:dyDescent="0.25">
      <c r="A1692" s="2" t="s">
        <v>1442</v>
      </c>
      <c r="B1692" s="1">
        <v>13098</v>
      </c>
      <c r="C1692" t="s">
        <v>1426</v>
      </c>
      <c r="D1692" t="s">
        <v>31</v>
      </c>
    </row>
    <row r="1693" spans="1:4" x14ac:dyDescent="0.25">
      <c r="A1693" s="2" t="s">
        <v>1443</v>
      </c>
      <c r="B1693" s="1">
        <v>13114</v>
      </c>
      <c r="C1693" t="s">
        <v>1426</v>
      </c>
      <c r="D1693" t="s">
        <v>31</v>
      </c>
    </row>
    <row r="1694" spans="1:4" x14ac:dyDescent="0.25">
      <c r="A1694" s="2" t="s">
        <v>1444</v>
      </c>
      <c r="B1694" s="1">
        <v>13119</v>
      </c>
      <c r="C1694" t="s">
        <v>1426</v>
      </c>
      <c r="D1694" t="s">
        <v>31</v>
      </c>
    </row>
    <row r="1695" spans="1:4" x14ac:dyDescent="0.25">
      <c r="A1695" s="2" t="s">
        <v>1445</v>
      </c>
      <c r="B1695" s="1">
        <v>13119</v>
      </c>
      <c r="C1695" t="s">
        <v>1426</v>
      </c>
      <c r="D1695" t="s">
        <v>31</v>
      </c>
    </row>
    <row r="1696" spans="1:4" x14ac:dyDescent="0.25">
      <c r="A1696" s="2" t="s">
        <v>1446</v>
      </c>
      <c r="B1696" s="1">
        <v>13119</v>
      </c>
      <c r="C1696" t="s">
        <v>1426</v>
      </c>
      <c r="D1696" t="s">
        <v>31</v>
      </c>
    </row>
    <row r="1697" spans="1:4" x14ac:dyDescent="0.25">
      <c r="A1697" s="2" t="s">
        <v>1447</v>
      </c>
      <c r="B1697" s="1">
        <v>13197</v>
      </c>
      <c r="C1697" t="s">
        <v>1426</v>
      </c>
      <c r="D1697" t="s">
        <v>31</v>
      </c>
    </row>
    <row r="1698" spans="1:4" x14ac:dyDescent="0.25">
      <c r="A1698" s="2" t="s">
        <v>1448</v>
      </c>
      <c r="B1698" s="1">
        <v>13216</v>
      </c>
      <c r="C1698" t="s">
        <v>1426</v>
      </c>
      <c r="D1698" t="s">
        <v>31</v>
      </c>
    </row>
    <row r="1699" spans="1:4" x14ac:dyDescent="0.25">
      <c r="A1699" s="2" t="s">
        <v>1449</v>
      </c>
      <c r="B1699" s="1">
        <v>13252</v>
      </c>
      <c r="C1699" t="s">
        <v>1426</v>
      </c>
      <c r="D1699" t="s">
        <v>31</v>
      </c>
    </row>
    <row r="1700" spans="1:4" x14ac:dyDescent="0.25">
      <c r="A1700" s="2" t="s">
        <v>1450</v>
      </c>
      <c r="B1700" s="1">
        <v>13267</v>
      </c>
      <c r="C1700" t="s">
        <v>1426</v>
      </c>
      <c r="D1700" t="s">
        <v>31</v>
      </c>
    </row>
    <row r="1701" spans="1:4" x14ac:dyDescent="0.25">
      <c r="A1701" s="2" t="s">
        <v>1451</v>
      </c>
      <c r="B1701" s="1">
        <v>13242</v>
      </c>
      <c r="C1701" t="s">
        <v>1426</v>
      </c>
      <c r="D1701" t="s">
        <v>31</v>
      </c>
    </row>
    <row r="1702" spans="1:4" x14ac:dyDescent="0.25">
      <c r="A1702" s="2" t="s">
        <v>1452</v>
      </c>
      <c r="B1702" s="1">
        <v>13242</v>
      </c>
      <c r="C1702" t="s">
        <v>1426</v>
      </c>
      <c r="D1702" t="s">
        <v>31</v>
      </c>
    </row>
    <row r="1703" spans="1:4" x14ac:dyDescent="0.25">
      <c r="A1703" s="2" t="s">
        <v>1453</v>
      </c>
      <c r="B1703" s="1">
        <v>13242</v>
      </c>
      <c r="C1703" t="s">
        <v>1426</v>
      </c>
      <c r="D1703" t="s">
        <v>31</v>
      </c>
    </row>
    <row r="1704" spans="1:4" x14ac:dyDescent="0.25">
      <c r="A1704" s="2" t="s">
        <v>1454</v>
      </c>
      <c r="B1704" s="1">
        <v>13275</v>
      </c>
      <c r="C1704" t="s">
        <v>1426</v>
      </c>
      <c r="D1704" t="s">
        <v>31</v>
      </c>
    </row>
    <row r="1705" spans="1:4" x14ac:dyDescent="0.25">
      <c r="A1705" s="2" t="s">
        <v>1455</v>
      </c>
      <c r="B1705" s="1">
        <v>13260</v>
      </c>
      <c r="C1705" t="s">
        <v>1426</v>
      </c>
      <c r="D1705" t="s">
        <v>31</v>
      </c>
    </row>
    <row r="1706" spans="1:4" x14ac:dyDescent="0.25">
      <c r="A1706" s="2" t="s">
        <v>1456</v>
      </c>
      <c r="B1706" s="1">
        <v>13300</v>
      </c>
      <c r="C1706" t="s">
        <v>1426</v>
      </c>
      <c r="D1706" t="s">
        <v>31</v>
      </c>
    </row>
    <row r="1707" spans="1:4" x14ac:dyDescent="0.25">
      <c r="A1707" s="2" t="s">
        <v>1457</v>
      </c>
      <c r="B1707" s="1">
        <v>13269</v>
      </c>
      <c r="C1707" t="s">
        <v>1458</v>
      </c>
      <c r="D1707" t="s">
        <v>31</v>
      </c>
    </row>
    <row r="1708" spans="1:4" x14ac:dyDescent="0.25">
      <c r="A1708" s="2" t="s">
        <v>1459</v>
      </c>
      <c r="B1708" s="1">
        <v>13261</v>
      </c>
      <c r="C1708" t="s">
        <v>1458</v>
      </c>
      <c r="D1708" t="s">
        <v>31</v>
      </c>
    </row>
    <row r="1709" spans="1:4" x14ac:dyDescent="0.25">
      <c r="A1709" s="2" t="s">
        <v>1460</v>
      </c>
      <c r="B1709" s="1">
        <v>13261</v>
      </c>
      <c r="C1709" t="s">
        <v>1458</v>
      </c>
      <c r="D1709" t="s">
        <v>31</v>
      </c>
    </row>
    <row r="1710" spans="1:4" x14ac:dyDescent="0.25">
      <c r="A1710" s="2" t="s">
        <v>1461</v>
      </c>
      <c r="B1710" s="1">
        <v>13261</v>
      </c>
      <c r="C1710" t="s">
        <v>1458</v>
      </c>
      <c r="D1710" t="s">
        <v>31</v>
      </c>
    </row>
    <row r="1711" spans="1:4" x14ac:dyDescent="0.25">
      <c r="A1711" s="2" t="s">
        <v>1462</v>
      </c>
      <c r="B1711" s="1">
        <v>13197</v>
      </c>
      <c r="C1711" t="s">
        <v>1458</v>
      </c>
      <c r="D1711" t="s">
        <v>31</v>
      </c>
    </row>
    <row r="1712" spans="1:4" x14ac:dyDescent="0.25">
      <c r="A1712" s="2" t="s">
        <v>1463</v>
      </c>
      <c r="B1712" s="1">
        <v>13162</v>
      </c>
      <c r="C1712" t="s">
        <v>1458</v>
      </c>
      <c r="D1712" t="s">
        <v>31</v>
      </c>
    </row>
    <row r="1713" spans="1:4" x14ac:dyDescent="0.25">
      <c r="A1713" s="2" t="s">
        <v>1464</v>
      </c>
      <c r="B1713" s="1">
        <v>13086</v>
      </c>
      <c r="C1713" t="s">
        <v>1458</v>
      </c>
      <c r="D1713" t="s">
        <v>31</v>
      </c>
    </row>
    <row r="1714" spans="1:4" x14ac:dyDescent="0.25">
      <c r="A1714" s="2" t="s">
        <v>1465</v>
      </c>
      <c r="B1714" s="1">
        <v>13090</v>
      </c>
      <c r="C1714" t="s">
        <v>1458</v>
      </c>
      <c r="D1714" t="s">
        <v>31</v>
      </c>
    </row>
    <row r="1715" spans="1:4" x14ac:dyDescent="0.25">
      <c r="A1715" s="2" t="s">
        <v>1466</v>
      </c>
      <c r="B1715" s="1">
        <v>13089</v>
      </c>
      <c r="C1715" t="s">
        <v>1458</v>
      </c>
      <c r="D1715" t="s">
        <v>31</v>
      </c>
    </row>
    <row r="1716" spans="1:4" x14ac:dyDescent="0.25">
      <c r="A1716" s="2" t="s">
        <v>1467</v>
      </c>
      <c r="B1716" s="1">
        <v>13089</v>
      </c>
      <c r="C1716" t="s">
        <v>1458</v>
      </c>
      <c r="D1716" t="s">
        <v>31</v>
      </c>
    </row>
    <row r="1717" spans="1:4" x14ac:dyDescent="0.25">
      <c r="A1717" s="2" t="s">
        <v>1468</v>
      </c>
      <c r="B1717" s="1">
        <v>13089</v>
      </c>
      <c r="C1717" t="s">
        <v>1458</v>
      </c>
      <c r="D1717" t="s">
        <v>31</v>
      </c>
    </row>
    <row r="1718" spans="1:4" x14ac:dyDescent="0.25">
      <c r="A1718" s="2" t="s">
        <v>1469</v>
      </c>
      <c r="B1718" s="1">
        <v>13089</v>
      </c>
      <c r="C1718" t="s">
        <v>1458</v>
      </c>
      <c r="D1718" t="s">
        <v>31</v>
      </c>
    </row>
    <row r="1719" spans="1:4" x14ac:dyDescent="0.25">
      <c r="A1719" s="2" t="s">
        <v>1470</v>
      </c>
      <c r="B1719" s="1">
        <v>13151</v>
      </c>
      <c r="C1719" t="s">
        <v>1458</v>
      </c>
      <c r="D1719" t="s">
        <v>31</v>
      </c>
    </row>
    <row r="1720" spans="1:4" x14ac:dyDescent="0.25">
      <c r="A1720" s="2" t="s">
        <v>1471</v>
      </c>
      <c r="B1720" s="1">
        <v>13228</v>
      </c>
      <c r="C1720" t="s">
        <v>1458</v>
      </c>
      <c r="D1720" t="s">
        <v>31</v>
      </c>
    </row>
    <row r="1721" spans="1:4" x14ac:dyDescent="0.25">
      <c r="A1721" s="2" t="s">
        <v>1472</v>
      </c>
      <c r="B1721" s="1">
        <v>13190</v>
      </c>
      <c r="C1721" t="s">
        <v>1458</v>
      </c>
      <c r="D1721" t="s">
        <v>31</v>
      </c>
    </row>
    <row r="1722" spans="1:4" x14ac:dyDescent="0.25">
      <c r="A1722" s="2" t="s">
        <v>1473</v>
      </c>
      <c r="B1722" s="1">
        <v>13131</v>
      </c>
      <c r="C1722" t="s">
        <v>1458</v>
      </c>
      <c r="D1722" t="s">
        <v>31</v>
      </c>
    </row>
    <row r="1723" spans="1:4" x14ac:dyDescent="0.25">
      <c r="A1723" s="2" t="s">
        <v>1474</v>
      </c>
      <c r="B1723" s="1">
        <v>13131</v>
      </c>
      <c r="C1723" t="s">
        <v>1458</v>
      </c>
      <c r="D1723" t="s">
        <v>31</v>
      </c>
    </row>
    <row r="1724" spans="1:4" x14ac:dyDescent="0.25">
      <c r="A1724" s="2" t="s">
        <v>1475</v>
      </c>
      <c r="B1724" s="1">
        <v>13131</v>
      </c>
      <c r="C1724" t="s">
        <v>1458</v>
      </c>
      <c r="D1724" t="s">
        <v>31</v>
      </c>
    </row>
    <row r="1725" spans="1:4" x14ac:dyDescent="0.25">
      <c r="A1725" s="2" t="s">
        <v>1476</v>
      </c>
      <c r="B1725" s="1">
        <v>13164</v>
      </c>
      <c r="C1725" t="s">
        <v>1458</v>
      </c>
      <c r="D1725" t="s">
        <v>31</v>
      </c>
    </row>
    <row r="1726" spans="1:4" x14ac:dyDescent="0.25">
      <c r="A1726" s="2" t="s">
        <v>1477</v>
      </c>
      <c r="B1726" s="1">
        <v>13142</v>
      </c>
      <c r="C1726" t="s">
        <v>1458</v>
      </c>
      <c r="D1726" t="s">
        <v>31</v>
      </c>
    </row>
    <row r="1727" spans="1:4" x14ac:dyDescent="0.25">
      <c r="A1727" s="2" t="s">
        <v>1478</v>
      </c>
      <c r="B1727" s="1">
        <v>13148</v>
      </c>
      <c r="C1727" t="s">
        <v>1458</v>
      </c>
      <c r="D1727" t="s">
        <v>31</v>
      </c>
    </row>
    <row r="1728" spans="1:4" x14ac:dyDescent="0.25">
      <c r="A1728" s="2" t="s">
        <v>1479</v>
      </c>
      <c r="B1728" s="1">
        <v>13098</v>
      </c>
      <c r="C1728" t="s">
        <v>1458</v>
      </c>
      <c r="D1728" t="s">
        <v>31</v>
      </c>
    </row>
    <row r="1729" spans="1:4" x14ac:dyDescent="0.25">
      <c r="A1729" s="2" t="s">
        <v>1480</v>
      </c>
      <c r="B1729" s="1">
        <v>13098</v>
      </c>
      <c r="C1729" t="s">
        <v>1458</v>
      </c>
      <c r="D1729" t="s">
        <v>31</v>
      </c>
    </row>
    <row r="1730" spans="1:4" x14ac:dyDescent="0.25">
      <c r="A1730" s="2" t="s">
        <v>1481</v>
      </c>
      <c r="B1730" s="1">
        <v>13098</v>
      </c>
      <c r="C1730" t="s">
        <v>1458</v>
      </c>
      <c r="D1730" t="s">
        <v>31</v>
      </c>
    </row>
    <row r="1731" spans="1:4" x14ac:dyDescent="0.25">
      <c r="A1731" s="2" t="s">
        <v>1482</v>
      </c>
      <c r="B1731" s="1">
        <v>13098</v>
      </c>
      <c r="C1731" t="s">
        <v>1458</v>
      </c>
      <c r="D1731" t="s">
        <v>31</v>
      </c>
    </row>
    <row r="1732" spans="1:4" x14ac:dyDescent="0.25">
      <c r="A1732" s="2" t="s">
        <v>1483</v>
      </c>
      <c r="B1732" s="1">
        <v>13076</v>
      </c>
      <c r="C1732" t="s">
        <v>1458</v>
      </c>
      <c r="D1732" t="s">
        <v>31</v>
      </c>
    </row>
    <row r="1733" spans="1:4" x14ac:dyDescent="0.25">
      <c r="A1733" s="2" t="s">
        <v>1484</v>
      </c>
      <c r="B1733" s="1">
        <v>13027</v>
      </c>
      <c r="C1733" t="s">
        <v>1458</v>
      </c>
      <c r="D1733" t="s">
        <v>31</v>
      </c>
    </row>
    <row r="1734" spans="1:4" x14ac:dyDescent="0.25">
      <c r="A1734" s="2" t="s">
        <v>1485</v>
      </c>
      <c r="B1734" s="1">
        <v>12926</v>
      </c>
      <c r="C1734" t="s">
        <v>1458</v>
      </c>
      <c r="D1734" t="s">
        <v>31</v>
      </c>
    </row>
    <row r="1735" spans="1:4" x14ac:dyDescent="0.25">
      <c r="A1735" s="2" t="s">
        <v>1486</v>
      </c>
      <c r="B1735" s="1">
        <v>12952</v>
      </c>
      <c r="C1735" t="s">
        <v>1458</v>
      </c>
      <c r="D1735" t="s">
        <v>31</v>
      </c>
    </row>
    <row r="1736" spans="1:4" x14ac:dyDescent="0.25">
      <c r="A1736" s="2" t="s">
        <v>1487</v>
      </c>
      <c r="B1736" s="1">
        <v>12998</v>
      </c>
      <c r="C1736" t="s">
        <v>1458</v>
      </c>
      <c r="D1736" t="s">
        <v>31</v>
      </c>
    </row>
    <row r="1737" spans="1:4" x14ac:dyDescent="0.25">
      <c r="A1737" s="2" t="s">
        <v>1488</v>
      </c>
      <c r="B1737" s="1">
        <v>12998</v>
      </c>
      <c r="C1737" t="s">
        <v>1489</v>
      </c>
      <c r="D1737" t="s">
        <v>32</v>
      </c>
    </row>
    <row r="1738" spans="1:4" x14ac:dyDescent="0.25">
      <c r="A1738" s="2" t="s">
        <v>1490</v>
      </c>
      <c r="B1738" s="1">
        <v>12998</v>
      </c>
      <c r="C1738" t="s">
        <v>1489</v>
      </c>
      <c r="D1738" t="s">
        <v>32</v>
      </c>
    </row>
    <row r="1739" spans="1:4" x14ac:dyDescent="0.25">
      <c r="A1739" s="2" t="s">
        <v>1491</v>
      </c>
      <c r="B1739" s="1">
        <v>13010</v>
      </c>
      <c r="C1739" t="s">
        <v>1489</v>
      </c>
      <c r="D1739" t="s">
        <v>32</v>
      </c>
    </row>
    <row r="1740" spans="1:4" x14ac:dyDescent="0.25">
      <c r="A1740" s="2" t="s">
        <v>1492</v>
      </c>
      <c r="B1740" s="1">
        <v>12988</v>
      </c>
      <c r="C1740" t="s">
        <v>1489</v>
      </c>
      <c r="D1740" t="s">
        <v>32</v>
      </c>
    </row>
    <row r="1741" spans="1:4" x14ac:dyDescent="0.25">
      <c r="A1741" s="2" t="s">
        <v>1493</v>
      </c>
      <c r="B1741" s="1">
        <v>12995</v>
      </c>
      <c r="C1741" t="s">
        <v>1489</v>
      </c>
      <c r="D1741" t="s">
        <v>32</v>
      </c>
    </row>
    <row r="1742" spans="1:4" x14ac:dyDescent="0.25">
      <c r="A1742" s="2" t="s">
        <v>1494</v>
      </c>
      <c r="B1742" s="1">
        <v>12992</v>
      </c>
      <c r="C1742" t="s">
        <v>1489</v>
      </c>
      <c r="D1742" t="s">
        <v>32</v>
      </c>
    </row>
    <row r="1743" spans="1:4" x14ac:dyDescent="0.25">
      <c r="A1743" s="2" t="s">
        <v>1495</v>
      </c>
      <c r="B1743" s="1">
        <v>13002</v>
      </c>
      <c r="C1743" t="s">
        <v>1489</v>
      </c>
      <c r="D1743" t="s">
        <v>32</v>
      </c>
    </row>
    <row r="1744" spans="1:4" x14ac:dyDescent="0.25">
      <c r="A1744" s="2" t="s">
        <v>1496</v>
      </c>
      <c r="B1744" s="1">
        <v>13002</v>
      </c>
      <c r="C1744" t="s">
        <v>1489</v>
      </c>
      <c r="D1744" t="s">
        <v>32</v>
      </c>
    </row>
    <row r="1745" spans="1:4" x14ac:dyDescent="0.25">
      <c r="A1745" s="2" t="s">
        <v>1497</v>
      </c>
      <c r="B1745" s="1">
        <v>13002</v>
      </c>
      <c r="C1745" t="s">
        <v>1489</v>
      </c>
      <c r="D1745" t="s">
        <v>32</v>
      </c>
    </row>
    <row r="1746" spans="1:4" x14ac:dyDescent="0.25">
      <c r="A1746" s="2" t="s">
        <v>1498</v>
      </c>
      <c r="B1746" s="1">
        <v>12969</v>
      </c>
      <c r="C1746" t="s">
        <v>1489</v>
      </c>
      <c r="D1746" t="s">
        <v>32</v>
      </c>
    </row>
    <row r="1747" spans="1:4" x14ac:dyDescent="0.25">
      <c r="A1747" s="2" t="s">
        <v>1499</v>
      </c>
      <c r="B1747" s="1">
        <v>12992</v>
      </c>
      <c r="C1747" t="s">
        <v>1489</v>
      </c>
      <c r="D1747" t="s">
        <v>32</v>
      </c>
    </row>
    <row r="1748" spans="1:4" x14ac:dyDescent="0.25">
      <c r="A1748" s="2" t="s">
        <v>1500</v>
      </c>
      <c r="B1748" s="1">
        <v>13023</v>
      </c>
      <c r="C1748" t="s">
        <v>1489</v>
      </c>
      <c r="D1748" t="s">
        <v>32</v>
      </c>
    </row>
    <row r="1749" spans="1:4" x14ac:dyDescent="0.25">
      <c r="A1749" s="2" t="s">
        <v>1501</v>
      </c>
      <c r="B1749" s="1">
        <v>13028</v>
      </c>
      <c r="C1749" t="s">
        <v>1489</v>
      </c>
      <c r="D1749" t="s">
        <v>32</v>
      </c>
    </row>
    <row r="1750" spans="1:4" x14ac:dyDescent="0.25">
      <c r="A1750" s="2" t="s">
        <v>1502</v>
      </c>
      <c r="B1750" s="1">
        <v>13047</v>
      </c>
      <c r="C1750" t="s">
        <v>1489</v>
      </c>
      <c r="D1750" t="s">
        <v>32</v>
      </c>
    </row>
    <row r="1751" spans="1:4" x14ac:dyDescent="0.25">
      <c r="A1751" s="2" t="s">
        <v>1503</v>
      </c>
      <c r="B1751" s="1">
        <v>13047</v>
      </c>
      <c r="C1751" t="s">
        <v>1489</v>
      </c>
      <c r="D1751" t="s">
        <v>32</v>
      </c>
    </row>
    <row r="1752" spans="1:4" x14ac:dyDescent="0.25">
      <c r="A1752" s="2" t="s">
        <v>1504</v>
      </c>
      <c r="B1752" s="1">
        <v>13047</v>
      </c>
      <c r="C1752" t="s">
        <v>1489</v>
      </c>
      <c r="D1752" t="s">
        <v>32</v>
      </c>
    </row>
    <row r="1753" spans="1:4" x14ac:dyDescent="0.25">
      <c r="A1753" s="2" t="s">
        <v>1505</v>
      </c>
      <c r="B1753" s="1">
        <v>13054</v>
      </c>
      <c r="C1753" t="s">
        <v>1489</v>
      </c>
      <c r="D1753" t="s">
        <v>32</v>
      </c>
    </row>
    <row r="1754" spans="1:4" x14ac:dyDescent="0.25">
      <c r="A1754" s="2" t="s">
        <v>1506</v>
      </c>
      <c r="B1754" s="1">
        <v>13044</v>
      </c>
      <c r="C1754" t="s">
        <v>1489</v>
      </c>
      <c r="D1754" t="s">
        <v>32</v>
      </c>
    </row>
    <row r="1755" spans="1:4" x14ac:dyDescent="0.25">
      <c r="A1755" s="2" t="s">
        <v>1507</v>
      </c>
      <c r="B1755" s="1">
        <v>13007</v>
      </c>
      <c r="C1755" t="s">
        <v>1489</v>
      </c>
      <c r="D1755" t="s">
        <v>32</v>
      </c>
    </row>
    <row r="1756" spans="1:4" x14ac:dyDescent="0.25">
      <c r="A1756" s="2" t="s">
        <v>1508</v>
      </c>
      <c r="B1756" s="1">
        <v>12999</v>
      </c>
      <c r="C1756" t="s">
        <v>1489</v>
      </c>
      <c r="D1756" t="s">
        <v>32</v>
      </c>
    </row>
    <row r="1757" spans="1:4" x14ac:dyDescent="0.25">
      <c r="A1757" s="2" t="s">
        <v>1509</v>
      </c>
      <c r="B1757" s="1">
        <v>13020</v>
      </c>
      <c r="C1757" t="s">
        <v>1489</v>
      </c>
      <c r="D1757" t="s">
        <v>32</v>
      </c>
    </row>
    <row r="1758" spans="1:4" x14ac:dyDescent="0.25">
      <c r="A1758" s="2" t="s">
        <v>1510</v>
      </c>
      <c r="B1758" s="1">
        <v>13020</v>
      </c>
      <c r="C1758" t="s">
        <v>1489</v>
      </c>
      <c r="D1758" t="s">
        <v>32</v>
      </c>
    </row>
    <row r="1759" spans="1:4" x14ac:dyDescent="0.25">
      <c r="A1759" s="2" t="s">
        <v>1511</v>
      </c>
      <c r="B1759" s="1">
        <v>13020</v>
      </c>
      <c r="C1759" t="s">
        <v>1489</v>
      </c>
      <c r="D1759" t="s">
        <v>32</v>
      </c>
    </row>
    <row r="1760" spans="1:4" x14ac:dyDescent="0.25">
      <c r="A1760" s="2" t="s">
        <v>1512</v>
      </c>
      <c r="B1760" s="1">
        <v>13047</v>
      </c>
      <c r="C1760" t="s">
        <v>1489</v>
      </c>
      <c r="D1760" t="s">
        <v>32</v>
      </c>
    </row>
    <row r="1761" spans="1:4" x14ac:dyDescent="0.25">
      <c r="A1761" s="2" t="s">
        <v>1513</v>
      </c>
      <c r="B1761" s="1">
        <v>13022</v>
      </c>
      <c r="C1761" t="s">
        <v>1489</v>
      </c>
      <c r="D1761" t="s">
        <v>32</v>
      </c>
    </row>
    <row r="1762" spans="1:4" x14ac:dyDescent="0.25">
      <c r="A1762" s="2" t="s">
        <v>1514</v>
      </c>
      <c r="B1762" s="1">
        <v>12997</v>
      </c>
      <c r="C1762" t="s">
        <v>1489</v>
      </c>
      <c r="D1762" t="s">
        <v>32</v>
      </c>
    </row>
    <row r="1763" spans="1:4" x14ac:dyDescent="0.25">
      <c r="A1763" s="2" t="s">
        <v>1515</v>
      </c>
      <c r="B1763" s="1">
        <v>13027</v>
      </c>
      <c r="C1763" t="s">
        <v>1489</v>
      </c>
      <c r="D1763" t="s">
        <v>32</v>
      </c>
    </row>
    <row r="1764" spans="1:4" x14ac:dyDescent="0.25">
      <c r="A1764" s="2" t="s">
        <v>1516</v>
      </c>
      <c r="B1764" s="1">
        <v>13048</v>
      </c>
      <c r="C1764" t="s">
        <v>1489</v>
      </c>
      <c r="D1764" t="s">
        <v>32</v>
      </c>
    </row>
    <row r="1765" spans="1:4" x14ac:dyDescent="0.25">
      <c r="A1765" s="2" t="s">
        <v>1517</v>
      </c>
      <c r="B1765" s="1">
        <v>13048</v>
      </c>
      <c r="C1765" t="s">
        <v>1489</v>
      </c>
      <c r="D1765" t="s">
        <v>32</v>
      </c>
    </row>
    <row r="1766" spans="1:4" x14ac:dyDescent="0.25">
      <c r="A1766" s="2" t="s">
        <v>1518</v>
      </c>
      <c r="B1766" s="1">
        <v>13048</v>
      </c>
      <c r="C1766" t="s">
        <v>1489</v>
      </c>
      <c r="D1766" t="s">
        <v>32</v>
      </c>
    </row>
    <row r="1767" spans="1:4" x14ac:dyDescent="0.25">
      <c r="A1767" s="2" t="s">
        <v>1519</v>
      </c>
      <c r="B1767" s="1">
        <v>13051</v>
      </c>
      <c r="C1767" t="s">
        <v>1489</v>
      </c>
      <c r="D1767" t="s">
        <v>32</v>
      </c>
    </row>
    <row r="1768" spans="1:4" x14ac:dyDescent="0.25">
      <c r="A1768" s="2" t="s">
        <v>1520</v>
      </c>
      <c r="B1768" s="1">
        <v>13036</v>
      </c>
      <c r="C1768" t="s">
        <v>1521</v>
      </c>
      <c r="D1768" t="s">
        <v>32</v>
      </c>
    </row>
    <row r="1769" spans="1:4" x14ac:dyDescent="0.25">
      <c r="A1769" s="2" t="s">
        <v>1522</v>
      </c>
      <c r="B1769" s="1">
        <v>13058</v>
      </c>
      <c r="C1769" t="s">
        <v>1521</v>
      </c>
      <c r="D1769" t="s">
        <v>32</v>
      </c>
    </row>
    <row r="1770" spans="1:4" x14ac:dyDescent="0.25">
      <c r="A1770" s="2" t="s">
        <v>1523</v>
      </c>
      <c r="B1770" s="1">
        <v>13050</v>
      </c>
      <c r="C1770" t="s">
        <v>1521</v>
      </c>
      <c r="D1770" t="s">
        <v>32</v>
      </c>
    </row>
    <row r="1771" spans="1:4" x14ac:dyDescent="0.25">
      <c r="A1771" s="2" t="s">
        <v>1524</v>
      </c>
      <c r="B1771" s="1">
        <v>13103</v>
      </c>
      <c r="C1771" t="s">
        <v>1521</v>
      </c>
      <c r="D1771" t="s">
        <v>32</v>
      </c>
    </row>
    <row r="1772" spans="1:4" x14ac:dyDescent="0.25">
      <c r="A1772" s="2" t="s">
        <v>1525</v>
      </c>
      <c r="B1772" s="1">
        <v>13103</v>
      </c>
      <c r="C1772" t="s">
        <v>1521</v>
      </c>
      <c r="D1772" t="s">
        <v>32</v>
      </c>
    </row>
    <row r="1773" spans="1:4" x14ac:dyDescent="0.25">
      <c r="A1773" s="2" t="s">
        <v>1526</v>
      </c>
      <c r="B1773" s="1">
        <v>13103</v>
      </c>
      <c r="C1773" t="s">
        <v>1521</v>
      </c>
      <c r="D1773" t="s">
        <v>32</v>
      </c>
    </row>
    <row r="1774" spans="1:4" x14ac:dyDescent="0.25">
      <c r="A1774" s="2" t="s">
        <v>1527</v>
      </c>
      <c r="B1774" s="1">
        <v>13082</v>
      </c>
      <c r="C1774" t="s">
        <v>1521</v>
      </c>
      <c r="D1774" t="s">
        <v>32</v>
      </c>
    </row>
    <row r="1775" spans="1:4" x14ac:dyDescent="0.25">
      <c r="A1775" s="2" t="s">
        <v>1528</v>
      </c>
      <c r="B1775" s="1">
        <v>13090</v>
      </c>
      <c r="C1775" t="s">
        <v>1521</v>
      </c>
      <c r="D1775" t="s">
        <v>32</v>
      </c>
    </row>
    <row r="1776" spans="1:4" x14ac:dyDescent="0.25">
      <c r="A1776" s="2" t="s">
        <v>1529</v>
      </c>
      <c r="B1776" s="1">
        <v>13084</v>
      </c>
      <c r="C1776" t="s">
        <v>1521</v>
      </c>
      <c r="D1776" t="s">
        <v>32</v>
      </c>
    </row>
    <row r="1777" spans="1:4" x14ac:dyDescent="0.25">
      <c r="A1777" s="2" t="s">
        <v>1530</v>
      </c>
      <c r="B1777" s="1">
        <v>13118</v>
      </c>
      <c r="C1777" t="s">
        <v>1521</v>
      </c>
      <c r="D1777" t="s">
        <v>32</v>
      </c>
    </row>
    <row r="1778" spans="1:4" x14ac:dyDescent="0.25">
      <c r="A1778" s="2" t="s">
        <v>1531</v>
      </c>
      <c r="B1778" s="1">
        <v>13350</v>
      </c>
      <c r="C1778" t="s">
        <v>1521</v>
      </c>
      <c r="D1778" t="s">
        <v>32</v>
      </c>
    </row>
    <row r="1779" spans="1:4" x14ac:dyDescent="0.25">
      <c r="A1779" s="2" t="s">
        <v>1532</v>
      </c>
      <c r="B1779" s="1">
        <v>13350</v>
      </c>
      <c r="C1779" t="s">
        <v>1521</v>
      </c>
      <c r="D1779" t="s">
        <v>32</v>
      </c>
    </row>
    <row r="1780" spans="1:4" x14ac:dyDescent="0.25">
      <c r="A1780" s="2" t="s">
        <v>1533</v>
      </c>
      <c r="B1780" s="1">
        <v>13350</v>
      </c>
      <c r="C1780" t="s">
        <v>1521</v>
      </c>
      <c r="D1780" t="s">
        <v>32</v>
      </c>
    </row>
    <row r="1781" spans="1:4" x14ac:dyDescent="0.25">
      <c r="A1781" s="2" t="s">
        <v>1534</v>
      </c>
      <c r="B1781" s="1">
        <v>13358</v>
      </c>
      <c r="C1781" t="s">
        <v>1521</v>
      </c>
      <c r="D1781" t="s">
        <v>32</v>
      </c>
    </row>
    <row r="1782" spans="1:4" x14ac:dyDescent="0.25">
      <c r="A1782" s="2" t="s">
        <v>1535</v>
      </c>
      <c r="B1782" s="1">
        <v>13338</v>
      </c>
      <c r="C1782" t="s">
        <v>1521</v>
      </c>
      <c r="D1782" t="s">
        <v>32</v>
      </c>
    </row>
    <row r="1783" spans="1:4" x14ac:dyDescent="0.25">
      <c r="A1783" s="2" t="s">
        <v>1536</v>
      </c>
      <c r="B1783" s="1">
        <v>13347</v>
      </c>
      <c r="C1783" t="s">
        <v>1521</v>
      </c>
      <c r="D1783" t="s">
        <v>32</v>
      </c>
    </row>
    <row r="1784" spans="1:4" x14ac:dyDescent="0.25">
      <c r="A1784" s="2" t="s">
        <v>1537</v>
      </c>
      <c r="B1784" s="1">
        <v>13385</v>
      </c>
      <c r="C1784" t="s">
        <v>1521</v>
      </c>
      <c r="D1784" t="s">
        <v>32</v>
      </c>
    </row>
    <row r="1785" spans="1:4" x14ac:dyDescent="0.25">
      <c r="A1785" s="2" t="s">
        <v>1538</v>
      </c>
      <c r="B1785" s="1">
        <v>13408</v>
      </c>
      <c r="C1785" t="s">
        <v>1521</v>
      </c>
      <c r="D1785" t="s">
        <v>32</v>
      </c>
    </row>
    <row r="1786" spans="1:4" x14ac:dyDescent="0.25">
      <c r="A1786" s="2" t="s">
        <v>1539</v>
      </c>
      <c r="B1786" s="1">
        <v>13408</v>
      </c>
      <c r="C1786" t="s">
        <v>1521</v>
      </c>
      <c r="D1786" t="s">
        <v>32</v>
      </c>
    </row>
    <row r="1787" spans="1:4" x14ac:dyDescent="0.25">
      <c r="A1787" s="2" t="s">
        <v>1540</v>
      </c>
      <c r="B1787" s="1">
        <v>13408</v>
      </c>
      <c r="C1787" t="s">
        <v>1521</v>
      </c>
      <c r="D1787" t="s">
        <v>32</v>
      </c>
    </row>
    <row r="1788" spans="1:4" x14ac:dyDescent="0.25">
      <c r="A1788" s="2" t="s">
        <v>1541</v>
      </c>
      <c r="B1788" s="1">
        <v>13438</v>
      </c>
      <c r="C1788" t="s">
        <v>1521</v>
      </c>
      <c r="D1788" t="s">
        <v>32</v>
      </c>
    </row>
    <row r="1789" spans="1:4" x14ac:dyDescent="0.25">
      <c r="A1789" s="2" t="s">
        <v>1542</v>
      </c>
      <c r="B1789" s="1">
        <v>13424</v>
      </c>
      <c r="C1789" t="s">
        <v>1521</v>
      </c>
      <c r="D1789" t="s">
        <v>32</v>
      </c>
    </row>
    <row r="1790" spans="1:4" x14ac:dyDescent="0.25">
      <c r="A1790" s="2" t="s">
        <v>1543</v>
      </c>
      <c r="B1790" s="1">
        <v>13473</v>
      </c>
      <c r="C1790" t="s">
        <v>1521</v>
      </c>
      <c r="D1790" t="s">
        <v>32</v>
      </c>
    </row>
    <row r="1791" spans="1:4" x14ac:dyDescent="0.25">
      <c r="A1791" s="2" t="s">
        <v>1544</v>
      </c>
      <c r="B1791" s="1">
        <v>13540</v>
      </c>
      <c r="C1791" t="s">
        <v>1521</v>
      </c>
      <c r="D1791" t="s">
        <v>32</v>
      </c>
    </row>
    <row r="1792" spans="1:4" x14ac:dyDescent="0.25">
      <c r="A1792" s="2" t="s">
        <v>1545</v>
      </c>
      <c r="B1792" s="1">
        <v>13570</v>
      </c>
      <c r="C1792" t="s">
        <v>1521</v>
      </c>
      <c r="D1792" t="s">
        <v>32</v>
      </c>
    </row>
    <row r="1793" spans="1:4" x14ac:dyDescent="0.25">
      <c r="A1793" s="2" t="s">
        <v>1546</v>
      </c>
      <c r="B1793" s="1">
        <v>13570</v>
      </c>
      <c r="C1793" t="s">
        <v>1521</v>
      </c>
      <c r="D1793" t="s">
        <v>32</v>
      </c>
    </row>
    <row r="1794" spans="1:4" x14ac:dyDescent="0.25">
      <c r="A1794" s="2" t="s">
        <v>1547</v>
      </c>
      <c r="B1794" s="1">
        <v>13570</v>
      </c>
      <c r="C1794" t="s">
        <v>1521</v>
      </c>
      <c r="D1794" t="s">
        <v>32</v>
      </c>
    </row>
    <row r="1795" spans="1:4" x14ac:dyDescent="0.25">
      <c r="A1795" s="2" t="s">
        <v>1548</v>
      </c>
      <c r="B1795" s="1">
        <v>13467</v>
      </c>
      <c r="C1795" t="s">
        <v>1521</v>
      </c>
      <c r="D1795" t="s">
        <v>32</v>
      </c>
    </row>
    <row r="1796" spans="1:4" x14ac:dyDescent="0.25">
      <c r="A1796" s="2" t="s">
        <v>1549</v>
      </c>
      <c r="B1796" s="1">
        <v>13549</v>
      </c>
      <c r="C1796" t="s">
        <v>1521</v>
      </c>
      <c r="D1796" t="s">
        <v>32</v>
      </c>
    </row>
    <row r="1797" spans="1:4" x14ac:dyDescent="0.25">
      <c r="A1797" s="2" t="s">
        <v>1550</v>
      </c>
      <c r="B1797" s="1">
        <v>13563</v>
      </c>
      <c r="C1797" t="s">
        <v>1521</v>
      </c>
      <c r="D1797" t="s">
        <v>32</v>
      </c>
    </row>
    <row r="1798" spans="1:4" x14ac:dyDescent="0.25">
      <c r="A1798" s="2" t="s">
        <v>1551</v>
      </c>
      <c r="B1798" s="1">
        <v>13582</v>
      </c>
      <c r="C1798" t="s">
        <v>1552</v>
      </c>
      <c r="D1798" t="s">
        <v>32</v>
      </c>
    </row>
    <row r="1799" spans="1:4" x14ac:dyDescent="0.25">
      <c r="A1799" s="2" t="s">
        <v>1553</v>
      </c>
      <c r="B1799" s="1">
        <v>13524</v>
      </c>
      <c r="C1799" t="s">
        <v>1552</v>
      </c>
      <c r="D1799" t="s">
        <v>32</v>
      </c>
    </row>
    <row r="1800" spans="1:4" x14ac:dyDescent="0.25">
      <c r="A1800" s="2" t="s">
        <v>1554</v>
      </c>
      <c r="B1800" s="1">
        <v>13524</v>
      </c>
      <c r="C1800" t="s">
        <v>1552</v>
      </c>
      <c r="D1800" t="s">
        <v>32</v>
      </c>
    </row>
    <row r="1801" spans="1:4" x14ac:dyDescent="0.25">
      <c r="A1801" s="2" t="s">
        <v>1555</v>
      </c>
      <c r="B1801" s="1">
        <v>13524</v>
      </c>
      <c r="C1801" t="s">
        <v>1552</v>
      </c>
      <c r="D1801" t="s">
        <v>32</v>
      </c>
    </row>
    <row r="1802" spans="1:4" x14ac:dyDescent="0.25">
      <c r="A1802" s="2" t="s">
        <v>1556</v>
      </c>
      <c r="B1802" s="1">
        <v>13516</v>
      </c>
      <c r="C1802" t="s">
        <v>1552</v>
      </c>
      <c r="D1802" t="s">
        <v>32</v>
      </c>
    </row>
    <row r="1803" spans="1:4" x14ac:dyDescent="0.25">
      <c r="A1803" s="2" t="s">
        <v>1557</v>
      </c>
      <c r="B1803" s="1">
        <v>13405</v>
      </c>
      <c r="C1803" t="s">
        <v>1552</v>
      </c>
      <c r="D1803" t="s">
        <v>32</v>
      </c>
    </row>
    <row r="1804" spans="1:4" x14ac:dyDescent="0.25">
      <c r="A1804" s="2" t="s">
        <v>1558</v>
      </c>
      <c r="B1804" s="1">
        <v>13336</v>
      </c>
      <c r="C1804" t="s">
        <v>1552</v>
      </c>
      <c r="D1804" t="s">
        <v>32</v>
      </c>
    </row>
    <row r="1805" spans="1:4" x14ac:dyDescent="0.25">
      <c r="A1805" s="2" t="s">
        <v>1559</v>
      </c>
      <c r="B1805" s="1">
        <v>13304</v>
      </c>
      <c r="C1805" t="s">
        <v>1552</v>
      </c>
      <c r="D1805" t="s">
        <v>32</v>
      </c>
    </row>
    <row r="1806" spans="1:4" x14ac:dyDescent="0.25">
      <c r="A1806" s="2" t="s">
        <v>1560</v>
      </c>
      <c r="B1806" s="1">
        <v>13337</v>
      </c>
      <c r="C1806" t="s">
        <v>1552</v>
      </c>
      <c r="D1806" t="s">
        <v>32</v>
      </c>
    </row>
    <row r="1807" spans="1:4" x14ac:dyDescent="0.25">
      <c r="A1807" s="2" t="s">
        <v>1561</v>
      </c>
      <c r="B1807" s="1">
        <v>13337</v>
      </c>
      <c r="C1807" t="s">
        <v>1552</v>
      </c>
      <c r="D1807" t="s">
        <v>32</v>
      </c>
    </row>
    <row r="1808" spans="1:4" x14ac:dyDescent="0.25">
      <c r="A1808" s="2" t="s">
        <v>1562</v>
      </c>
      <c r="B1808" s="1">
        <v>13337</v>
      </c>
      <c r="C1808" t="s">
        <v>1552</v>
      </c>
      <c r="D1808" t="s">
        <v>32</v>
      </c>
    </row>
    <row r="1809" spans="1:4" x14ac:dyDescent="0.25">
      <c r="A1809" s="2" t="s">
        <v>1563</v>
      </c>
      <c r="B1809" s="1">
        <v>13337</v>
      </c>
      <c r="C1809" t="s">
        <v>1552</v>
      </c>
      <c r="D1809" t="s">
        <v>32</v>
      </c>
    </row>
    <row r="1810" spans="1:4" x14ac:dyDescent="0.25">
      <c r="A1810" s="2" t="s">
        <v>1564</v>
      </c>
      <c r="B1810" s="1">
        <v>13309</v>
      </c>
      <c r="C1810" t="s">
        <v>1552</v>
      </c>
      <c r="D1810" t="s">
        <v>32</v>
      </c>
    </row>
    <row r="1811" spans="1:4" x14ac:dyDescent="0.25">
      <c r="A1811" s="2" t="s">
        <v>1565</v>
      </c>
      <c r="B1811" s="1">
        <v>13285</v>
      </c>
      <c r="C1811" t="s">
        <v>1552</v>
      </c>
      <c r="D1811" t="s">
        <v>32</v>
      </c>
    </row>
    <row r="1812" spans="1:4" x14ac:dyDescent="0.25">
      <c r="A1812" s="2" t="s">
        <v>1566</v>
      </c>
      <c r="B1812" s="1">
        <v>13367</v>
      </c>
      <c r="C1812" t="s">
        <v>1552</v>
      </c>
      <c r="D1812" t="s">
        <v>32</v>
      </c>
    </row>
    <row r="1813" spans="1:4" x14ac:dyDescent="0.25">
      <c r="A1813" s="2" t="s">
        <v>1567</v>
      </c>
      <c r="B1813" s="1">
        <v>13426</v>
      </c>
      <c r="C1813" t="s">
        <v>1552</v>
      </c>
      <c r="D1813" t="s">
        <v>32</v>
      </c>
    </row>
    <row r="1814" spans="1:4" x14ac:dyDescent="0.25">
      <c r="A1814" s="2" t="s">
        <v>1568</v>
      </c>
      <c r="B1814" s="1">
        <v>13426</v>
      </c>
      <c r="C1814" t="s">
        <v>1552</v>
      </c>
      <c r="D1814" t="s">
        <v>32</v>
      </c>
    </row>
    <row r="1815" spans="1:4" x14ac:dyDescent="0.25">
      <c r="A1815" s="2" t="s">
        <v>1569</v>
      </c>
      <c r="B1815" s="1">
        <v>13426</v>
      </c>
      <c r="C1815" t="s">
        <v>1552</v>
      </c>
      <c r="D1815" t="s">
        <v>32</v>
      </c>
    </row>
    <row r="1816" spans="1:4" x14ac:dyDescent="0.25">
      <c r="A1816" s="2" t="s">
        <v>1570</v>
      </c>
      <c r="B1816" s="1">
        <v>13381</v>
      </c>
      <c r="C1816" t="s">
        <v>1552</v>
      </c>
      <c r="D1816" t="s">
        <v>32</v>
      </c>
    </row>
    <row r="1817" spans="1:4" x14ac:dyDescent="0.25">
      <c r="A1817" s="2" t="s">
        <v>1571</v>
      </c>
      <c r="B1817" s="1">
        <v>13393</v>
      </c>
      <c r="C1817" t="s">
        <v>1552</v>
      </c>
      <c r="D1817" t="s">
        <v>32</v>
      </c>
    </row>
    <row r="1818" spans="1:4" x14ac:dyDescent="0.25">
      <c r="A1818" s="2" t="s">
        <v>1572</v>
      </c>
      <c r="B1818" s="1">
        <v>13473</v>
      </c>
      <c r="C1818" t="s">
        <v>1552</v>
      </c>
      <c r="D1818" t="s">
        <v>32</v>
      </c>
    </row>
    <row r="1819" spans="1:4" x14ac:dyDescent="0.25">
      <c r="A1819" s="2" t="s">
        <v>1573</v>
      </c>
      <c r="B1819" s="1">
        <v>13435</v>
      </c>
      <c r="C1819" t="s">
        <v>1552</v>
      </c>
      <c r="D1819" t="s">
        <v>32</v>
      </c>
    </row>
    <row r="1820" spans="1:4" x14ac:dyDescent="0.25">
      <c r="A1820" s="2" t="s">
        <v>1574</v>
      </c>
      <c r="B1820" s="1">
        <v>13470</v>
      </c>
      <c r="C1820" t="s">
        <v>1552</v>
      </c>
      <c r="D1820" t="s">
        <v>32</v>
      </c>
    </row>
    <row r="1821" spans="1:4" x14ac:dyDescent="0.25">
      <c r="A1821" s="2" t="s">
        <v>1575</v>
      </c>
      <c r="B1821" s="1">
        <v>13470</v>
      </c>
      <c r="C1821" t="s">
        <v>1552</v>
      </c>
      <c r="D1821" t="s">
        <v>32</v>
      </c>
    </row>
    <row r="1822" spans="1:4" x14ac:dyDescent="0.25">
      <c r="A1822" s="2" t="s">
        <v>1576</v>
      </c>
      <c r="B1822" s="1">
        <v>13470</v>
      </c>
      <c r="C1822" t="s">
        <v>1552</v>
      </c>
      <c r="D1822" t="s">
        <v>32</v>
      </c>
    </row>
    <row r="1823" spans="1:4" x14ac:dyDescent="0.25">
      <c r="A1823" s="2" t="s">
        <v>1577</v>
      </c>
      <c r="B1823" s="1">
        <v>13470</v>
      </c>
      <c r="C1823" t="s">
        <v>1552</v>
      </c>
      <c r="D1823" t="s">
        <v>32</v>
      </c>
    </row>
    <row r="1824" spans="1:4" x14ac:dyDescent="0.25">
      <c r="A1824" s="2" t="s">
        <v>1578</v>
      </c>
      <c r="B1824" s="1">
        <v>13436</v>
      </c>
      <c r="C1824" t="s">
        <v>1552</v>
      </c>
      <c r="D1824" t="s">
        <v>32</v>
      </c>
    </row>
    <row r="1825" spans="1:4" x14ac:dyDescent="0.25">
      <c r="A1825" s="2" t="s">
        <v>1579</v>
      </c>
      <c r="B1825" s="1">
        <v>13447</v>
      </c>
      <c r="C1825" t="s">
        <v>1552</v>
      </c>
      <c r="D1825" t="s">
        <v>32</v>
      </c>
    </row>
    <row r="1826" spans="1:4" x14ac:dyDescent="0.25">
      <c r="A1826" s="2" t="s">
        <v>1580</v>
      </c>
      <c r="B1826" s="1">
        <v>13473</v>
      </c>
      <c r="C1826" t="s">
        <v>1552</v>
      </c>
      <c r="D1826" t="s">
        <v>32</v>
      </c>
    </row>
    <row r="1827" spans="1:4" x14ac:dyDescent="0.25">
      <c r="A1827" s="2" t="s">
        <v>1581</v>
      </c>
      <c r="B1827" s="1">
        <v>13436</v>
      </c>
      <c r="C1827" t="s">
        <v>1552</v>
      </c>
      <c r="D1827" t="s">
        <v>32</v>
      </c>
    </row>
    <row r="1828" spans="1:4" x14ac:dyDescent="0.25">
      <c r="A1828" s="2" t="s">
        <v>1582</v>
      </c>
      <c r="B1828" s="1">
        <v>13436</v>
      </c>
      <c r="C1828" t="s">
        <v>1552</v>
      </c>
      <c r="D1828" t="s">
        <v>32</v>
      </c>
    </row>
    <row r="1829" spans="1:4" x14ac:dyDescent="0.25">
      <c r="A1829" s="2" t="s">
        <v>1583</v>
      </c>
      <c r="B1829" s="1">
        <v>13436</v>
      </c>
      <c r="C1829" t="s">
        <v>1584</v>
      </c>
      <c r="D1829" t="s">
        <v>1585</v>
      </c>
    </row>
    <row r="1830" spans="1:4" x14ac:dyDescent="0.25">
      <c r="A1830" s="2" t="s">
        <v>1586</v>
      </c>
      <c r="B1830" s="1">
        <v>13436</v>
      </c>
      <c r="C1830" t="s">
        <v>1584</v>
      </c>
      <c r="D1830" t="s">
        <v>1585</v>
      </c>
    </row>
    <row r="1831" spans="1:4" x14ac:dyDescent="0.25">
      <c r="A1831" s="2" t="s">
        <v>1587</v>
      </c>
      <c r="B1831" s="1">
        <v>13485</v>
      </c>
      <c r="C1831" t="s">
        <v>1584</v>
      </c>
      <c r="D1831" t="s">
        <v>1585</v>
      </c>
    </row>
    <row r="1832" spans="1:4" x14ac:dyDescent="0.25">
      <c r="A1832" s="2" t="s">
        <v>1588</v>
      </c>
      <c r="B1832" s="1">
        <v>13478</v>
      </c>
      <c r="C1832" t="s">
        <v>1584</v>
      </c>
      <c r="D1832" t="s">
        <v>1585</v>
      </c>
    </row>
    <row r="1833" spans="1:4" x14ac:dyDescent="0.25">
      <c r="A1833" s="2" t="s">
        <v>1589</v>
      </c>
      <c r="B1833" s="1">
        <v>13370</v>
      </c>
      <c r="C1833" t="s">
        <v>1584</v>
      </c>
      <c r="D1833" t="s">
        <v>1585</v>
      </c>
    </row>
    <row r="1834" spans="1:4" x14ac:dyDescent="0.25">
      <c r="A1834" s="2" t="s">
        <v>1590</v>
      </c>
      <c r="B1834" s="1">
        <v>13347</v>
      </c>
      <c r="C1834" t="s">
        <v>1584</v>
      </c>
      <c r="D1834" t="s">
        <v>1585</v>
      </c>
    </row>
    <row r="1835" spans="1:4" x14ac:dyDescent="0.25">
      <c r="A1835" s="2" t="s">
        <v>1591</v>
      </c>
      <c r="B1835" s="1">
        <v>13347</v>
      </c>
      <c r="C1835" t="s">
        <v>1584</v>
      </c>
      <c r="D1835" t="s">
        <v>1585</v>
      </c>
    </row>
    <row r="1836" spans="1:4" x14ac:dyDescent="0.25">
      <c r="A1836" s="2" t="s">
        <v>1592</v>
      </c>
      <c r="B1836" s="1">
        <v>13347</v>
      </c>
      <c r="C1836" t="s">
        <v>1584</v>
      </c>
      <c r="D1836" t="s">
        <v>1585</v>
      </c>
    </row>
    <row r="1837" spans="1:4" x14ac:dyDescent="0.25">
      <c r="A1837" s="2" t="s">
        <v>1593</v>
      </c>
      <c r="B1837" s="1">
        <v>13385</v>
      </c>
      <c r="C1837" t="s">
        <v>1584</v>
      </c>
      <c r="D1837" t="s">
        <v>1585</v>
      </c>
    </row>
    <row r="1838" spans="1:4" x14ac:dyDescent="0.25">
      <c r="A1838" s="2" t="s">
        <v>1594</v>
      </c>
      <c r="B1838" s="1">
        <v>13320</v>
      </c>
      <c r="C1838" t="s">
        <v>1584</v>
      </c>
      <c r="D1838" t="s">
        <v>1585</v>
      </c>
    </row>
    <row r="1839" spans="1:4" x14ac:dyDescent="0.25">
      <c r="A1839" s="2" t="s">
        <v>1595</v>
      </c>
      <c r="B1839" s="1">
        <v>13327</v>
      </c>
      <c r="C1839" t="s">
        <v>1584</v>
      </c>
      <c r="D1839" t="s">
        <v>1585</v>
      </c>
    </row>
    <row r="1840" spans="1:4" x14ac:dyDescent="0.25">
      <c r="A1840" s="2" t="s">
        <v>1596</v>
      </c>
      <c r="B1840" s="1">
        <v>13288</v>
      </c>
      <c r="C1840" t="s">
        <v>1584</v>
      </c>
      <c r="D1840" t="s">
        <v>1585</v>
      </c>
    </row>
    <row r="1841" spans="1:4" x14ac:dyDescent="0.25">
      <c r="A1841" s="2" t="s">
        <v>1597</v>
      </c>
      <c r="B1841" s="1">
        <v>13308</v>
      </c>
      <c r="C1841" t="s">
        <v>1584</v>
      </c>
      <c r="D1841" t="s">
        <v>1585</v>
      </c>
    </row>
    <row r="1842" spans="1:4" x14ac:dyDescent="0.25">
      <c r="A1842" s="2" t="s">
        <v>1598</v>
      </c>
      <c r="B1842" s="1">
        <v>13308</v>
      </c>
      <c r="C1842" t="s">
        <v>1584</v>
      </c>
      <c r="D1842" t="s">
        <v>1585</v>
      </c>
    </row>
    <row r="1843" spans="1:4" x14ac:dyDescent="0.25">
      <c r="A1843" s="2" t="s">
        <v>1599</v>
      </c>
      <c r="B1843" s="1">
        <v>13308</v>
      </c>
      <c r="C1843" t="s">
        <v>1584</v>
      </c>
      <c r="D1843" t="s">
        <v>1585</v>
      </c>
    </row>
    <row r="1844" spans="1:4" x14ac:dyDescent="0.25">
      <c r="A1844" s="2" t="s">
        <v>1600</v>
      </c>
      <c r="B1844" s="1">
        <v>13354</v>
      </c>
      <c r="C1844" t="s">
        <v>1584</v>
      </c>
      <c r="D1844" t="s">
        <v>1585</v>
      </c>
    </row>
    <row r="1845" spans="1:4" x14ac:dyDescent="0.25">
      <c r="A1845" s="2" t="s">
        <v>1601</v>
      </c>
      <c r="B1845" s="1">
        <v>13381</v>
      </c>
      <c r="C1845" t="s">
        <v>1584</v>
      </c>
      <c r="D1845" t="s">
        <v>1585</v>
      </c>
    </row>
    <row r="1846" spans="1:4" x14ac:dyDescent="0.25">
      <c r="A1846" s="2" t="s">
        <v>1602</v>
      </c>
      <c r="B1846" s="1">
        <v>13328</v>
      </c>
      <c r="C1846" t="s">
        <v>1584</v>
      </c>
      <c r="D1846" t="s">
        <v>1585</v>
      </c>
    </row>
    <row r="1847" spans="1:4" x14ac:dyDescent="0.25">
      <c r="A1847" s="2" t="s">
        <v>1603</v>
      </c>
      <c r="B1847" s="1">
        <v>13376</v>
      </c>
      <c r="C1847" t="s">
        <v>1584</v>
      </c>
      <c r="D1847" t="s">
        <v>1585</v>
      </c>
    </row>
    <row r="1848" spans="1:4" x14ac:dyDescent="0.25">
      <c r="A1848" s="2" t="s">
        <v>1604</v>
      </c>
      <c r="B1848" s="1">
        <v>13382</v>
      </c>
      <c r="C1848" t="s">
        <v>1584</v>
      </c>
      <c r="D1848" t="s">
        <v>1585</v>
      </c>
    </row>
    <row r="1849" spans="1:4" x14ac:dyDescent="0.25">
      <c r="A1849" s="2" t="s">
        <v>1605</v>
      </c>
      <c r="B1849" s="1">
        <v>13382</v>
      </c>
      <c r="C1849" t="s">
        <v>1584</v>
      </c>
      <c r="D1849" t="s">
        <v>1585</v>
      </c>
    </row>
    <row r="1850" spans="1:4" x14ac:dyDescent="0.25">
      <c r="A1850" s="2" t="s">
        <v>1606</v>
      </c>
      <c r="B1850" s="1">
        <v>13382</v>
      </c>
      <c r="C1850" t="s">
        <v>1584</v>
      </c>
      <c r="D1850" t="s">
        <v>1585</v>
      </c>
    </row>
    <row r="1851" spans="1:4" x14ac:dyDescent="0.25">
      <c r="A1851" s="2" t="s">
        <v>1607</v>
      </c>
      <c r="B1851" s="1">
        <v>13372</v>
      </c>
      <c r="C1851" t="s">
        <v>1584</v>
      </c>
      <c r="D1851" t="s">
        <v>1585</v>
      </c>
    </row>
    <row r="1852" spans="1:4" x14ac:dyDescent="0.25">
      <c r="A1852" s="2" t="s">
        <v>1608</v>
      </c>
      <c r="B1852" s="1">
        <v>13330</v>
      </c>
      <c r="C1852" t="s">
        <v>1584</v>
      </c>
      <c r="D1852" t="s">
        <v>1585</v>
      </c>
    </row>
    <row r="1853" spans="1:4" x14ac:dyDescent="0.25">
      <c r="A1853" s="2" t="s">
        <v>1609</v>
      </c>
      <c r="B1853" s="1">
        <v>13340</v>
      </c>
      <c r="C1853" t="s">
        <v>1584</v>
      </c>
      <c r="D1853" t="s">
        <v>1585</v>
      </c>
    </row>
    <row r="1854" spans="1:4" x14ac:dyDescent="0.25">
      <c r="A1854" s="2" t="s">
        <v>1610</v>
      </c>
      <c r="B1854" s="1">
        <v>13325</v>
      </c>
      <c r="C1854" t="s">
        <v>1584</v>
      </c>
      <c r="D1854" t="s">
        <v>1585</v>
      </c>
    </row>
    <row r="1855" spans="1:4" x14ac:dyDescent="0.25">
      <c r="A1855" s="2" t="s">
        <v>1611</v>
      </c>
      <c r="B1855" s="1">
        <v>13359</v>
      </c>
      <c r="C1855" t="s">
        <v>1584</v>
      </c>
      <c r="D1855" t="s">
        <v>1585</v>
      </c>
    </row>
    <row r="1856" spans="1:4" x14ac:dyDescent="0.25">
      <c r="A1856" s="2" t="s">
        <v>1612</v>
      </c>
      <c r="B1856" s="1">
        <v>13359</v>
      </c>
      <c r="C1856" t="s">
        <v>1584</v>
      </c>
      <c r="D1856" t="s">
        <v>1585</v>
      </c>
    </row>
    <row r="1857" spans="1:4" x14ac:dyDescent="0.25">
      <c r="A1857" s="2" t="s">
        <v>1613</v>
      </c>
      <c r="B1857" s="1">
        <v>13359</v>
      </c>
      <c r="C1857" t="s">
        <v>1584</v>
      </c>
      <c r="D1857" t="s">
        <v>1585</v>
      </c>
    </row>
    <row r="1858" spans="1:4" x14ac:dyDescent="0.25">
      <c r="A1858" s="2" t="s">
        <v>1614</v>
      </c>
      <c r="B1858" s="1">
        <v>13335</v>
      </c>
      <c r="C1858" t="s">
        <v>1584</v>
      </c>
      <c r="D1858" t="s">
        <v>1585</v>
      </c>
    </row>
    <row r="1859" spans="1:4" x14ac:dyDescent="0.25">
      <c r="A1859" s="2" t="s">
        <v>1615</v>
      </c>
      <c r="B1859" s="1">
        <v>13343</v>
      </c>
      <c r="C1859" t="s">
        <v>1584</v>
      </c>
      <c r="D1859" t="s">
        <v>1585</v>
      </c>
    </row>
    <row r="1860" spans="1:4" x14ac:dyDescent="0.25">
      <c r="A1860" s="2" t="s">
        <v>1616</v>
      </c>
      <c r="B1860" s="1">
        <v>13349</v>
      </c>
      <c r="C1860" t="s">
        <v>1617</v>
      </c>
      <c r="D1860" t="s">
        <v>1585</v>
      </c>
    </row>
    <row r="1861" spans="1:4" x14ac:dyDescent="0.25">
      <c r="A1861" s="2" t="s">
        <v>1618</v>
      </c>
      <c r="B1861" s="1">
        <v>13374</v>
      </c>
      <c r="C1861" t="s">
        <v>1617</v>
      </c>
      <c r="D1861" t="s">
        <v>1585</v>
      </c>
    </row>
    <row r="1862" spans="1:4" x14ac:dyDescent="0.25">
      <c r="A1862" s="2" t="s">
        <v>1619</v>
      </c>
      <c r="B1862" s="1">
        <v>13362</v>
      </c>
      <c r="C1862" t="s">
        <v>1617</v>
      </c>
      <c r="D1862" t="s">
        <v>1585</v>
      </c>
    </row>
    <row r="1863" spans="1:4" x14ac:dyDescent="0.25">
      <c r="A1863" s="2" t="s">
        <v>1620</v>
      </c>
      <c r="B1863" s="1">
        <v>13362</v>
      </c>
      <c r="C1863" t="s">
        <v>1617</v>
      </c>
      <c r="D1863" t="s">
        <v>1585</v>
      </c>
    </row>
    <row r="1864" spans="1:4" x14ac:dyDescent="0.25">
      <c r="A1864" s="2" t="s">
        <v>1621</v>
      </c>
      <c r="B1864" s="1">
        <v>13362</v>
      </c>
      <c r="C1864" t="s">
        <v>1617</v>
      </c>
      <c r="D1864" t="s">
        <v>1585</v>
      </c>
    </row>
    <row r="1865" spans="1:4" x14ac:dyDescent="0.25">
      <c r="A1865" s="2" t="s">
        <v>1622</v>
      </c>
      <c r="B1865" s="1">
        <v>13329</v>
      </c>
      <c r="C1865" t="s">
        <v>1617</v>
      </c>
      <c r="D1865" t="s">
        <v>1585</v>
      </c>
    </row>
    <row r="1866" spans="1:4" x14ac:dyDescent="0.25">
      <c r="A1866" s="2" t="s">
        <v>1623</v>
      </c>
      <c r="B1866" s="1">
        <v>13322</v>
      </c>
      <c r="C1866" t="s">
        <v>1617</v>
      </c>
      <c r="D1866" t="s">
        <v>1585</v>
      </c>
    </row>
    <row r="1867" spans="1:4" x14ac:dyDescent="0.25">
      <c r="A1867" s="2" t="s">
        <v>1624</v>
      </c>
      <c r="B1867" s="1">
        <v>13337</v>
      </c>
      <c r="C1867" t="s">
        <v>1617</v>
      </c>
      <c r="D1867" t="s">
        <v>1585</v>
      </c>
    </row>
    <row r="1868" spans="1:4" x14ac:dyDescent="0.25">
      <c r="A1868" s="2" t="s">
        <v>1625</v>
      </c>
      <c r="B1868" s="1">
        <v>13308</v>
      </c>
      <c r="C1868" t="s">
        <v>1617</v>
      </c>
      <c r="D1868" t="s">
        <v>1585</v>
      </c>
    </row>
    <row r="1869" spans="1:4" x14ac:dyDescent="0.25">
      <c r="A1869" s="2" t="s">
        <v>1626</v>
      </c>
      <c r="B1869" s="1">
        <v>13318</v>
      </c>
      <c r="C1869" t="s">
        <v>1617</v>
      </c>
      <c r="D1869" t="s">
        <v>1585</v>
      </c>
    </row>
    <row r="1870" spans="1:4" x14ac:dyDescent="0.25">
      <c r="A1870" s="2" t="s">
        <v>1627</v>
      </c>
      <c r="B1870" s="1">
        <v>13318</v>
      </c>
      <c r="C1870" t="s">
        <v>1617</v>
      </c>
      <c r="D1870" t="s">
        <v>1585</v>
      </c>
    </row>
    <row r="1871" spans="1:4" x14ac:dyDescent="0.25">
      <c r="A1871" s="2" t="s">
        <v>1628</v>
      </c>
      <c r="B1871" s="1">
        <v>13318</v>
      </c>
      <c r="C1871" t="s">
        <v>1617</v>
      </c>
      <c r="D1871" t="s">
        <v>1585</v>
      </c>
    </row>
    <row r="1872" spans="1:4" x14ac:dyDescent="0.25">
      <c r="A1872" s="2" t="s">
        <v>1629</v>
      </c>
      <c r="B1872" s="1">
        <v>13330</v>
      </c>
      <c r="C1872" t="s">
        <v>1617</v>
      </c>
      <c r="D1872" t="s">
        <v>1585</v>
      </c>
    </row>
    <row r="1873" spans="1:4" x14ac:dyDescent="0.25">
      <c r="A1873" s="2" t="s">
        <v>1630</v>
      </c>
      <c r="B1873" s="1">
        <v>13330</v>
      </c>
      <c r="C1873" t="s">
        <v>1617</v>
      </c>
      <c r="D1873" t="s">
        <v>1585</v>
      </c>
    </row>
    <row r="1874" spans="1:4" x14ac:dyDescent="0.25">
      <c r="A1874" s="2" t="s">
        <v>1631</v>
      </c>
      <c r="B1874" s="1">
        <v>13330</v>
      </c>
      <c r="C1874" t="s">
        <v>1617</v>
      </c>
      <c r="D1874" t="s">
        <v>1585</v>
      </c>
    </row>
    <row r="1875" spans="1:4" x14ac:dyDescent="0.25">
      <c r="A1875" s="2" t="s">
        <v>1632</v>
      </c>
      <c r="B1875" s="1">
        <v>13329</v>
      </c>
      <c r="C1875" t="s">
        <v>1617</v>
      </c>
      <c r="D1875" t="s">
        <v>1585</v>
      </c>
    </row>
    <row r="1876" spans="1:4" x14ac:dyDescent="0.25">
      <c r="A1876" s="2" t="s">
        <v>1633</v>
      </c>
      <c r="B1876" s="1">
        <v>13328</v>
      </c>
      <c r="C1876" t="s">
        <v>1617</v>
      </c>
      <c r="D1876" t="s">
        <v>1585</v>
      </c>
    </row>
    <row r="1877" spans="1:4" x14ac:dyDescent="0.25">
      <c r="A1877" s="2" t="s">
        <v>1634</v>
      </c>
      <c r="B1877" s="1">
        <v>13328</v>
      </c>
      <c r="C1877" t="s">
        <v>1617</v>
      </c>
      <c r="D1877" t="s">
        <v>1585</v>
      </c>
    </row>
    <row r="1878" spans="1:4" x14ac:dyDescent="0.25">
      <c r="A1878" s="2" t="s">
        <v>1635</v>
      </c>
      <c r="B1878" s="1">
        <v>13328</v>
      </c>
      <c r="C1878" t="s">
        <v>1617</v>
      </c>
      <c r="D1878" t="s">
        <v>1585</v>
      </c>
    </row>
    <row r="1879" spans="1:4" x14ac:dyDescent="0.25">
      <c r="A1879" s="2" t="s">
        <v>1636</v>
      </c>
      <c r="B1879" s="1">
        <v>13352</v>
      </c>
      <c r="C1879" t="s">
        <v>1617</v>
      </c>
      <c r="D1879" t="s">
        <v>1585</v>
      </c>
    </row>
    <row r="1880" spans="1:4" x14ac:dyDescent="0.25">
      <c r="A1880" s="2" t="s">
        <v>1637</v>
      </c>
      <c r="B1880" s="1">
        <v>13370</v>
      </c>
      <c r="C1880" t="s">
        <v>1617</v>
      </c>
      <c r="D1880" t="s">
        <v>1585</v>
      </c>
    </row>
    <row r="1881" spans="1:4" x14ac:dyDescent="0.25">
      <c r="A1881" s="2" t="s">
        <v>1638</v>
      </c>
      <c r="B1881" s="1">
        <v>13356</v>
      </c>
      <c r="C1881" t="s">
        <v>1617</v>
      </c>
      <c r="D1881" t="s">
        <v>1585</v>
      </c>
    </row>
    <row r="1882" spans="1:4" x14ac:dyDescent="0.25">
      <c r="A1882" s="2" t="s">
        <v>1639</v>
      </c>
      <c r="B1882" s="1">
        <v>13360</v>
      </c>
      <c r="C1882" t="s">
        <v>1617</v>
      </c>
      <c r="D1882" t="s">
        <v>1585</v>
      </c>
    </row>
    <row r="1883" spans="1:4" x14ac:dyDescent="0.25">
      <c r="A1883" s="2" t="s">
        <v>1640</v>
      </c>
      <c r="B1883" s="1">
        <v>13336</v>
      </c>
      <c r="C1883" t="s">
        <v>1617</v>
      </c>
      <c r="D1883" t="s">
        <v>1585</v>
      </c>
    </row>
    <row r="1884" spans="1:4" x14ac:dyDescent="0.25">
      <c r="A1884" s="2" t="s">
        <v>1641</v>
      </c>
      <c r="B1884" s="1">
        <v>13336</v>
      </c>
      <c r="C1884" t="s">
        <v>1617</v>
      </c>
      <c r="D1884" t="s">
        <v>1585</v>
      </c>
    </row>
    <row r="1885" spans="1:4" x14ac:dyDescent="0.25">
      <c r="A1885" s="2" t="s">
        <v>1642</v>
      </c>
      <c r="B1885" s="1">
        <v>13336</v>
      </c>
      <c r="C1885" t="s">
        <v>1617</v>
      </c>
      <c r="D1885" t="s">
        <v>1585</v>
      </c>
    </row>
    <row r="1886" spans="1:4" x14ac:dyDescent="0.25">
      <c r="A1886" s="2" t="s">
        <v>1643</v>
      </c>
      <c r="B1886" s="1">
        <v>13339</v>
      </c>
      <c r="C1886" t="s">
        <v>1617</v>
      </c>
      <c r="D1886" t="s">
        <v>1585</v>
      </c>
    </row>
    <row r="1887" spans="1:4" x14ac:dyDescent="0.25">
      <c r="A1887" s="2" t="s">
        <v>1644</v>
      </c>
      <c r="B1887" s="1">
        <v>13347</v>
      </c>
      <c r="C1887" t="s">
        <v>1617</v>
      </c>
      <c r="D1887" t="s">
        <v>1585</v>
      </c>
    </row>
    <row r="1888" spans="1:4" x14ac:dyDescent="0.25">
      <c r="A1888" s="2" t="s">
        <v>1645</v>
      </c>
      <c r="B1888" s="1">
        <v>13361</v>
      </c>
      <c r="C1888" t="s">
        <v>1646</v>
      </c>
      <c r="D1888" t="s">
        <v>1585</v>
      </c>
    </row>
    <row r="1889" spans="1:4" x14ac:dyDescent="0.25">
      <c r="A1889" s="2" t="s">
        <v>1647</v>
      </c>
      <c r="B1889" s="1">
        <v>13361</v>
      </c>
      <c r="C1889" t="s">
        <v>1646</v>
      </c>
      <c r="D1889" t="s">
        <v>1585</v>
      </c>
    </row>
    <row r="1890" spans="1:4" x14ac:dyDescent="0.25">
      <c r="A1890" s="2" t="s">
        <v>1648</v>
      </c>
      <c r="B1890" s="1">
        <v>13375</v>
      </c>
      <c r="C1890" t="s">
        <v>1646</v>
      </c>
      <c r="D1890" t="s">
        <v>1585</v>
      </c>
    </row>
    <row r="1891" spans="1:4" x14ac:dyDescent="0.25">
      <c r="A1891" s="2" t="s">
        <v>1649</v>
      </c>
      <c r="B1891" s="1">
        <v>13375</v>
      </c>
      <c r="C1891" t="s">
        <v>1646</v>
      </c>
      <c r="D1891" t="s">
        <v>1585</v>
      </c>
    </row>
    <row r="1892" spans="1:4" x14ac:dyDescent="0.25">
      <c r="A1892" s="2" t="s">
        <v>1650</v>
      </c>
      <c r="B1892" s="1">
        <v>13375</v>
      </c>
      <c r="C1892" t="s">
        <v>1646</v>
      </c>
      <c r="D1892" t="s">
        <v>1585</v>
      </c>
    </row>
    <row r="1893" spans="1:4" x14ac:dyDescent="0.25">
      <c r="A1893" s="2" t="s">
        <v>1651</v>
      </c>
      <c r="B1893" s="1">
        <v>13364</v>
      </c>
      <c r="C1893" t="s">
        <v>1646</v>
      </c>
      <c r="D1893" t="s">
        <v>1585</v>
      </c>
    </row>
    <row r="1894" spans="1:4" x14ac:dyDescent="0.25">
      <c r="A1894" s="2" t="s">
        <v>1652</v>
      </c>
      <c r="B1894" s="1">
        <v>13350</v>
      </c>
      <c r="C1894" t="s">
        <v>1646</v>
      </c>
      <c r="D1894" t="s">
        <v>1585</v>
      </c>
    </row>
    <row r="1895" spans="1:4" x14ac:dyDescent="0.25">
      <c r="A1895" s="2" t="s">
        <v>1653</v>
      </c>
      <c r="B1895" s="1">
        <v>13340</v>
      </c>
      <c r="C1895" t="s">
        <v>1646</v>
      </c>
      <c r="D1895" t="s">
        <v>1585</v>
      </c>
    </row>
    <row r="1896" spans="1:4" x14ac:dyDescent="0.25">
      <c r="A1896" s="2" t="s">
        <v>1654</v>
      </c>
      <c r="B1896" s="1">
        <v>13373</v>
      </c>
      <c r="C1896" t="s">
        <v>1646</v>
      </c>
      <c r="D1896" t="s">
        <v>1585</v>
      </c>
    </row>
    <row r="1897" spans="1:4" x14ac:dyDescent="0.25">
      <c r="A1897" s="2" t="s">
        <v>1655</v>
      </c>
      <c r="B1897" s="1">
        <v>13393</v>
      </c>
      <c r="C1897" t="s">
        <v>1646</v>
      </c>
      <c r="D1897" t="s">
        <v>1585</v>
      </c>
    </row>
    <row r="1898" spans="1:4" x14ac:dyDescent="0.25">
      <c r="A1898" s="2" t="s">
        <v>1656</v>
      </c>
      <c r="B1898" s="1">
        <v>13393</v>
      </c>
      <c r="C1898" t="s">
        <v>1646</v>
      </c>
      <c r="D1898" t="s">
        <v>1585</v>
      </c>
    </row>
    <row r="1899" spans="1:4" x14ac:dyDescent="0.25">
      <c r="A1899" s="2" t="s">
        <v>1657</v>
      </c>
      <c r="B1899" s="1">
        <v>13393</v>
      </c>
      <c r="C1899" t="s">
        <v>1646</v>
      </c>
      <c r="D1899" t="s">
        <v>1585</v>
      </c>
    </row>
    <row r="1900" spans="1:4" x14ac:dyDescent="0.25">
      <c r="A1900" s="2" t="s">
        <v>1658</v>
      </c>
      <c r="B1900" s="1">
        <v>13364</v>
      </c>
      <c r="C1900" t="s">
        <v>1646</v>
      </c>
      <c r="D1900" t="s">
        <v>1585</v>
      </c>
    </row>
    <row r="1901" spans="1:4" x14ac:dyDescent="0.25">
      <c r="A1901" s="2" t="s">
        <v>1659</v>
      </c>
      <c r="B1901" s="1">
        <v>13360</v>
      </c>
      <c r="C1901" t="s">
        <v>1646</v>
      </c>
      <c r="D1901" t="s">
        <v>1585</v>
      </c>
    </row>
    <row r="1902" spans="1:4" x14ac:dyDescent="0.25">
      <c r="A1902" s="2" t="s">
        <v>1660</v>
      </c>
      <c r="B1902" s="1">
        <v>13375</v>
      </c>
      <c r="C1902" t="s">
        <v>1646</v>
      </c>
      <c r="D1902" t="s">
        <v>1585</v>
      </c>
    </row>
    <row r="1903" spans="1:4" x14ac:dyDescent="0.25">
      <c r="A1903" s="2" t="s">
        <v>1661</v>
      </c>
      <c r="B1903" s="1">
        <v>13336</v>
      </c>
      <c r="C1903" t="s">
        <v>1646</v>
      </c>
      <c r="D1903" t="s">
        <v>1585</v>
      </c>
    </row>
    <row r="1904" spans="1:4" x14ac:dyDescent="0.25">
      <c r="A1904" s="2" t="s">
        <v>1662</v>
      </c>
      <c r="B1904" s="1">
        <v>13342</v>
      </c>
      <c r="C1904" t="s">
        <v>1646</v>
      </c>
      <c r="D1904" t="s">
        <v>1585</v>
      </c>
    </row>
    <row r="1905" spans="1:4" x14ac:dyDescent="0.25">
      <c r="A1905" s="2" t="s">
        <v>1663</v>
      </c>
      <c r="B1905" s="1">
        <v>13342</v>
      </c>
      <c r="C1905" t="s">
        <v>1646</v>
      </c>
      <c r="D1905" t="s">
        <v>1585</v>
      </c>
    </row>
    <row r="1906" spans="1:4" x14ac:dyDescent="0.25">
      <c r="A1906" s="2" t="s">
        <v>1664</v>
      </c>
      <c r="B1906" s="1">
        <v>13342</v>
      </c>
      <c r="C1906" t="s">
        <v>1646</v>
      </c>
      <c r="D1906" t="s">
        <v>1585</v>
      </c>
    </row>
    <row r="1907" spans="1:4" x14ac:dyDescent="0.25">
      <c r="A1907" s="2" t="s">
        <v>1665</v>
      </c>
      <c r="B1907" s="1">
        <v>13329</v>
      </c>
      <c r="C1907" t="s">
        <v>1646</v>
      </c>
      <c r="D1907" t="s">
        <v>1585</v>
      </c>
    </row>
    <row r="1908" spans="1:4" x14ac:dyDescent="0.25">
      <c r="A1908" s="2" t="s">
        <v>1666</v>
      </c>
      <c r="B1908" s="1">
        <v>13308</v>
      </c>
      <c r="C1908" t="s">
        <v>1646</v>
      </c>
      <c r="D1908" t="s">
        <v>1585</v>
      </c>
    </row>
    <row r="1909" spans="1:4" x14ac:dyDescent="0.25">
      <c r="A1909" s="2" t="s">
        <v>1667</v>
      </c>
      <c r="B1909" s="1">
        <v>13335</v>
      </c>
      <c r="C1909" t="s">
        <v>1646</v>
      </c>
      <c r="D1909" t="s">
        <v>1585</v>
      </c>
    </row>
    <row r="1910" spans="1:4" x14ac:dyDescent="0.25">
      <c r="A1910" s="2" t="s">
        <v>1668</v>
      </c>
      <c r="B1910" s="1">
        <v>13332</v>
      </c>
      <c r="C1910" t="s">
        <v>1646</v>
      </c>
      <c r="D1910" t="s">
        <v>1585</v>
      </c>
    </row>
    <row r="1911" spans="1:4" x14ac:dyDescent="0.25">
      <c r="A1911" s="2" t="s">
        <v>1669</v>
      </c>
      <c r="B1911" s="1">
        <v>13329</v>
      </c>
      <c r="C1911" t="s">
        <v>1646</v>
      </c>
      <c r="D1911" t="s">
        <v>1585</v>
      </c>
    </row>
    <row r="1912" spans="1:4" x14ac:dyDescent="0.25">
      <c r="A1912" s="2" t="s">
        <v>1670</v>
      </c>
      <c r="B1912" s="1">
        <v>13329</v>
      </c>
      <c r="C1912" t="s">
        <v>1646</v>
      </c>
      <c r="D1912" t="s">
        <v>1585</v>
      </c>
    </row>
    <row r="1913" spans="1:4" x14ac:dyDescent="0.25">
      <c r="A1913" s="2" t="s">
        <v>1671</v>
      </c>
      <c r="B1913" s="1">
        <v>13329</v>
      </c>
      <c r="C1913" t="s">
        <v>1646</v>
      </c>
      <c r="D1913" t="s">
        <v>1585</v>
      </c>
    </row>
    <row r="1914" spans="1:4" x14ac:dyDescent="0.25">
      <c r="A1914" s="2" t="s">
        <v>1672</v>
      </c>
      <c r="B1914" s="1">
        <v>13314</v>
      </c>
      <c r="C1914" t="s">
        <v>1646</v>
      </c>
      <c r="D1914" t="s">
        <v>1585</v>
      </c>
    </row>
    <row r="1915" spans="1:4" x14ac:dyDescent="0.25">
      <c r="A1915" s="2" t="s">
        <v>1673</v>
      </c>
      <c r="B1915" s="1">
        <v>13314</v>
      </c>
      <c r="C1915" t="s">
        <v>1646</v>
      </c>
      <c r="D1915" t="s">
        <v>1585</v>
      </c>
    </row>
    <row r="1916" spans="1:4" x14ac:dyDescent="0.25">
      <c r="A1916" s="2" t="s">
        <v>1674</v>
      </c>
      <c r="B1916" s="1">
        <v>13323</v>
      </c>
      <c r="C1916" t="s">
        <v>1646</v>
      </c>
      <c r="D1916" t="s">
        <v>1585</v>
      </c>
    </row>
    <row r="1917" spans="1:4" x14ac:dyDescent="0.25">
      <c r="A1917" s="2" t="s">
        <v>1675</v>
      </c>
      <c r="B1917" s="1">
        <v>13316</v>
      </c>
      <c r="C1917" t="s">
        <v>1646</v>
      </c>
      <c r="D1917" t="s">
        <v>1585</v>
      </c>
    </row>
    <row r="1918" spans="1:4" x14ac:dyDescent="0.25">
      <c r="A1918" s="2" t="s">
        <v>1676</v>
      </c>
      <c r="B1918" s="1">
        <v>13321</v>
      </c>
      <c r="C1918" t="s">
        <v>1646</v>
      </c>
      <c r="D1918" t="s">
        <v>1585</v>
      </c>
    </row>
    <row r="1919" spans="1:4" x14ac:dyDescent="0.25">
      <c r="A1919" s="2" t="s">
        <v>1677</v>
      </c>
      <c r="B1919" s="1">
        <v>13321</v>
      </c>
      <c r="C1919" t="s">
        <v>1678</v>
      </c>
      <c r="D1919" t="s">
        <v>1679</v>
      </c>
    </row>
    <row r="1920" spans="1:4" x14ac:dyDescent="0.25">
      <c r="A1920" s="2" t="s">
        <v>1680</v>
      </c>
      <c r="B1920" s="1">
        <v>13321</v>
      </c>
      <c r="C1920" t="s">
        <v>1678</v>
      </c>
      <c r="D1920" t="s">
        <v>1679</v>
      </c>
    </row>
    <row r="1921" spans="1:4" x14ac:dyDescent="0.25">
      <c r="A1921" s="2" t="s">
        <v>1681</v>
      </c>
      <c r="B1921" s="1">
        <v>13324</v>
      </c>
      <c r="C1921" t="s">
        <v>1678</v>
      </c>
      <c r="D1921" t="s">
        <v>1679</v>
      </c>
    </row>
    <row r="1922" spans="1:4" x14ac:dyDescent="0.25">
      <c r="A1922" s="2" t="s">
        <v>1682</v>
      </c>
      <c r="B1922" s="1">
        <v>13326</v>
      </c>
      <c r="C1922" t="s">
        <v>1678</v>
      </c>
      <c r="D1922" t="s">
        <v>1679</v>
      </c>
    </row>
    <row r="1923" spans="1:4" x14ac:dyDescent="0.25">
      <c r="A1923" s="2" t="s">
        <v>1683</v>
      </c>
      <c r="B1923" s="1">
        <v>13329</v>
      </c>
      <c r="C1923" t="s">
        <v>1678</v>
      </c>
      <c r="D1923" t="s">
        <v>1679</v>
      </c>
    </row>
    <row r="1924" spans="1:4" x14ac:dyDescent="0.25">
      <c r="A1924" s="2" t="s">
        <v>1684</v>
      </c>
      <c r="B1924" s="1">
        <v>13327</v>
      </c>
      <c r="C1924" t="s">
        <v>1678</v>
      </c>
      <c r="D1924" t="s">
        <v>1679</v>
      </c>
    </row>
    <row r="1925" spans="1:4" x14ac:dyDescent="0.25">
      <c r="A1925" s="2" t="s">
        <v>1685</v>
      </c>
      <c r="B1925" s="1">
        <v>13341</v>
      </c>
      <c r="C1925" t="s">
        <v>1678</v>
      </c>
      <c r="D1925" t="s">
        <v>1679</v>
      </c>
    </row>
    <row r="1926" spans="1:4" x14ac:dyDescent="0.25">
      <c r="A1926" s="2" t="s">
        <v>1686</v>
      </c>
      <c r="B1926" s="1">
        <v>13341</v>
      </c>
      <c r="C1926" t="s">
        <v>1678</v>
      </c>
      <c r="D1926" t="s">
        <v>1679</v>
      </c>
    </row>
    <row r="1927" spans="1:4" x14ac:dyDescent="0.25">
      <c r="A1927" s="2" t="s">
        <v>1687</v>
      </c>
      <c r="B1927" s="1">
        <v>13341</v>
      </c>
      <c r="C1927" t="s">
        <v>1678</v>
      </c>
      <c r="D1927" t="s">
        <v>1679</v>
      </c>
    </row>
    <row r="1928" spans="1:4" x14ac:dyDescent="0.25">
      <c r="A1928" s="2" t="s">
        <v>1688</v>
      </c>
      <c r="B1928" s="1">
        <v>13323</v>
      </c>
      <c r="C1928" t="s">
        <v>1678</v>
      </c>
      <c r="D1928" t="s">
        <v>1679</v>
      </c>
    </row>
    <row r="1929" spans="1:4" x14ac:dyDescent="0.25">
      <c r="A1929" s="2" t="s">
        <v>1689</v>
      </c>
      <c r="B1929" s="1">
        <v>13282</v>
      </c>
      <c r="C1929" t="s">
        <v>1678</v>
      </c>
      <c r="D1929" t="s">
        <v>1679</v>
      </c>
    </row>
    <row r="1930" spans="1:4" x14ac:dyDescent="0.25">
      <c r="A1930" s="2" t="s">
        <v>1690</v>
      </c>
      <c r="B1930" s="1">
        <v>13298</v>
      </c>
      <c r="C1930" t="s">
        <v>1678</v>
      </c>
      <c r="D1930" t="s">
        <v>1679</v>
      </c>
    </row>
    <row r="1931" spans="1:4" x14ac:dyDescent="0.25">
      <c r="A1931" s="2" t="s">
        <v>1691</v>
      </c>
      <c r="B1931" s="1">
        <v>13264</v>
      </c>
      <c r="C1931" t="s">
        <v>1678</v>
      </c>
      <c r="D1931" t="s">
        <v>1679</v>
      </c>
    </row>
    <row r="1932" spans="1:4" x14ac:dyDescent="0.25">
      <c r="A1932" s="2" t="s">
        <v>1692</v>
      </c>
      <c r="B1932" s="1">
        <v>13264</v>
      </c>
      <c r="C1932" t="s">
        <v>1678</v>
      </c>
      <c r="D1932" t="s">
        <v>1679</v>
      </c>
    </row>
    <row r="1933" spans="1:4" x14ac:dyDescent="0.25">
      <c r="A1933" s="2" t="s">
        <v>1693</v>
      </c>
      <c r="B1933" s="1">
        <v>13264</v>
      </c>
      <c r="C1933" t="s">
        <v>1678</v>
      </c>
      <c r="D1933" t="s">
        <v>1679</v>
      </c>
    </row>
    <row r="1934" spans="1:4" x14ac:dyDescent="0.25">
      <c r="A1934" s="2" t="s">
        <v>1694</v>
      </c>
      <c r="B1934" s="1">
        <v>13264</v>
      </c>
      <c r="C1934" t="s">
        <v>1678</v>
      </c>
      <c r="D1934" t="s">
        <v>1679</v>
      </c>
    </row>
    <row r="1935" spans="1:4" x14ac:dyDescent="0.25">
      <c r="A1935" s="2" t="s">
        <v>1695</v>
      </c>
      <c r="B1935" s="1">
        <v>13255</v>
      </c>
      <c r="C1935" t="s">
        <v>1678</v>
      </c>
      <c r="D1935" t="s">
        <v>1679</v>
      </c>
    </row>
    <row r="1936" spans="1:4" x14ac:dyDescent="0.25">
      <c r="A1936" s="2" t="s">
        <v>1696</v>
      </c>
      <c r="B1936" s="1">
        <v>13299</v>
      </c>
      <c r="C1936" t="s">
        <v>1678</v>
      </c>
      <c r="D1936" t="s">
        <v>1679</v>
      </c>
    </row>
    <row r="1937" spans="1:4" x14ac:dyDescent="0.25">
      <c r="A1937" s="2" t="s">
        <v>1697</v>
      </c>
      <c r="B1937" s="1">
        <v>13299</v>
      </c>
      <c r="C1937" t="s">
        <v>1678</v>
      </c>
      <c r="D1937" t="s">
        <v>1679</v>
      </c>
    </row>
    <row r="1938" spans="1:4" x14ac:dyDescent="0.25">
      <c r="A1938" s="2" t="s">
        <v>1698</v>
      </c>
      <c r="B1938" s="1">
        <v>13328</v>
      </c>
      <c r="C1938" t="s">
        <v>1678</v>
      </c>
      <c r="D1938" t="s">
        <v>1679</v>
      </c>
    </row>
    <row r="1939" spans="1:4" x14ac:dyDescent="0.25">
      <c r="A1939" s="2" t="s">
        <v>1699</v>
      </c>
      <c r="B1939" s="1">
        <v>13320</v>
      </c>
      <c r="C1939" t="s">
        <v>1678</v>
      </c>
      <c r="D1939" t="s">
        <v>1679</v>
      </c>
    </row>
    <row r="1940" spans="1:4" x14ac:dyDescent="0.25">
      <c r="A1940" s="2" t="s">
        <v>1700</v>
      </c>
      <c r="B1940" s="1">
        <v>13320</v>
      </c>
      <c r="C1940" t="s">
        <v>1678</v>
      </c>
      <c r="D1940" t="s">
        <v>1679</v>
      </c>
    </row>
    <row r="1941" spans="1:4" x14ac:dyDescent="0.25">
      <c r="A1941" s="2" t="s">
        <v>1701</v>
      </c>
      <c r="B1941" s="1">
        <v>13320</v>
      </c>
      <c r="C1941" t="s">
        <v>1678</v>
      </c>
      <c r="D1941" t="s">
        <v>1679</v>
      </c>
    </row>
    <row r="1942" spans="1:4" x14ac:dyDescent="0.25">
      <c r="A1942" s="2" t="s">
        <v>1702</v>
      </c>
      <c r="B1942" s="1">
        <v>13320</v>
      </c>
      <c r="C1942" t="s">
        <v>1678</v>
      </c>
      <c r="D1942" t="s">
        <v>1679</v>
      </c>
    </row>
    <row r="1943" spans="1:4" x14ac:dyDescent="0.25">
      <c r="A1943" s="2" t="s">
        <v>1703</v>
      </c>
      <c r="B1943" s="1">
        <v>13296</v>
      </c>
      <c r="C1943" t="s">
        <v>1678</v>
      </c>
      <c r="D1943" t="s">
        <v>1679</v>
      </c>
    </row>
    <row r="1944" spans="1:4" x14ac:dyDescent="0.25">
      <c r="A1944" s="2" t="s">
        <v>1704</v>
      </c>
      <c r="B1944" s="1">
        <v>13278</v>
      </c>
      <c r="C1944" t="s">
        <v>1678</v>
      </c>
      <c r="D1944" t="s">
        <v>1679</v>
      </c>
    </row>
    <row r="1945" spans="1:4" x14ac:dyDescent="0.25">
      <c r="A1945" s="2" t="s">
        <v>1705</v>
      </c>
      <c r="B1945" s="1">
        <v>13299</v>
      </c>
      <c r="C1945" t="s">
        <v>1678</v>
      </c>
      <c r="D1945" t="s">
        <v>1679</v>
      </c>
    </row>
    <row r="1946" spans="1:4" x14ac:dyDescent="0.25">
      <c r="A1946" s="2" t="s">
        <v>1706</v>
      </c>
      <c r="B1946" s="1">
        <v>13327</v>
      </c>
      <c r="C1946" t="s">
        <v>1678</v>
      </c>
      <c r="D1946" t="s">
        <v>1679</v>
      </c>
    </row>
    <row r="1947" spans="1:4" x14ac:dyDescent="0.25">
      <c r="A1947" s="2" t="s">
        <v>1707</v>
      </c>
      <c r="B1947" s="1">
        <v>13327</v>
      </c>
      <c r="C1947" t="s">
        <v>1678</v>
      </c>
      <c r="D1947" t="s">
        <v>1679</v>
      </c>
    </row>
    <row r="1948" spans="1:4" x14ac:dyDescent="0.25">
      <c r="A1948" s="2" t="s">
        <v>1708</v>
      </c>
      <c r="B1948" s="1">
        <v>13327</v>
      </c>
      <c r="C1948" t="s">
        <v>1678</v>
      </c>
      <c r="D1948" t="s">
        <v>1679</v>
      </c>
    </row>
    <row r="1949" spans="1:4" x14ac:dyDescent="0.25">
      <c r="A1949" s="2" t="s">
        <v>1709</v>
      </c>
      <c r="B1949" s="1">
        <v>13327</v>
      </c>
      <c r="C1949" t="s">
        <v>1710</v>
      </c>
      <c r="D1949" t="s">
        <v>1679</v>
      </c>
    </row>
    <row r="1950" spans="1:4" x14ac:dyDescent="0.25">
      <c r="A1950" s="2" t="s">
        <v>1711</v>
      </c>
      <c r="B1950" s="1">
        <v>13316</v>
      </c>
      <c r="C1950" t="s">
        <v>1710</v>
      </c>
      <c r="D1950" t="s">
        <v>1679</v>
      </c>
    </row>
    <row r="1951" spans="1:4" x14ac:dyDescent="0.25">
      <c r="A1951" s="2" t="s">
        <v>1712</v>
      </c>
      <c r="B1951" s="1">
        <v>13297</v>
      </c>
      <c r="C1951" t="s">
        <v>1710</v>
      </c>
      <c r="D1951" t="s">
        <v>1679</v>
      </c>
    </row>
    <row r="1952" spans="1:4" x14ac:dyDescent="0.25">
      <c r="A1952" s="2" t="s">
        <v>1713</v>
      </c>
      <c r="B1952" s="1">
        <v>13330</v>
      </c>
      <c r="C1952" t="s">
        <v>1710</v>
      </c>
      <c r="D1952" t="s">
        <v>1679</v>
      </c>
    </row>
    <row r="1953" spans="1:4" x14ac:dyDescent="0.25">
      <c r="A1953" s="2" t="s">
        <v>1714</v>
      </c>
      <c r="B1953" s="1">
        <v>13339</v>
      </c>
      <c r="C1953" t="s">
        <v>1710</v>
      </c>
      <c r="D1953" t="s">
        <v>1679</v>
      </c>
    </row>
    <row r="1954" spans="1:4" x14ac:dyDescent="0.25">
      <c r="A1954" s="2" t="s">
        <v>1715</v>
      </c>
      <c r="B1954" s="1">
        <v>13339</v>
      </c>
      <c r="C1954" t="s">
        <v>1710</v>
      </c>
      <c r="D1954" t="s">
        <v>1679</v>
      </c>
    </row>
    <row r="1955" spans="1:4" x14ac:dyDescent="0.25">
      <c r="A1955" s="2" t="s">
        <v>1716</v>
      </c>
      <c r="B1955" s="1">
        <v>13339</v>
      </c>
      <c r="C1955" t="s">
        <v>1710</v>
      </c>
      <c r="D1955" t="s">
        <v>1679</v>
      </c>
    </row>
    <row r="1956" spans="1:4" x14ac:dyDescent="0.25">
      <c r="A1956" s="2" t="s">
        <v>1717</v>
      </c>
      <c r="B1956" s="1">
        <v>13324</v>
      </c>
      <c r="C1956" t="s">
        <v>1710</v>
      </c>
      <c r="D1956" t="s">
        <v>1679</v>
      </c>
    </row>
    <row r="1957" spans="1:4" x14ac:dyDescent="0.25">
      <c r="A1957" s="2" t="s">
        <v>1718</v>
      </c>
      <c r="B1957" s="1">
        <v>13317</v>
      </c>
      <c r="C1957" t="s">
        <v>1710</v>
      </c>
      <c r="D1957" t="s">
        <v>1679</v>
      </c>
    </row>
    <row r="1958" spans="1:4" x14ac:dyDescent="0.25">
      <c r="A1958" s="2" t="s">
        <v>1719</v>
      </c>
      <c r="B1958" s="1">
        <v>13355</v>
      </c>
      <c r="C1958" t="s">
        <v>1710</v>
      </c>
      <c r="D1958" t="s">
        <v>1679</v>
      </c>
    </row>
    <row r="1959" spans="1:4" x14ac:dyDescent="0.25">
      <c r="A1959" s="2" t="s">
        <v>1720</v>
      </c>
      <c r="B1959" s="1">
        <v>13355</v>
      </c>
      <c r="C1959" t="s">
        <v>1710</v>
      </c>
      <c r="D1959" t="s">
        <v>1679</v>
      </c>
    </row>
    <row r="1960" spans="1:4" x14ac:dyDescent="0.25">
      <c r="A1960" s="2" t="s">
        <v>1721</v>
      </c>
      <c r="B1960" s="1">
        <v>13340</v>
      </c>
      <c r="C1960" t="s">
        <v>1710</v>
      </c>
      <c r="D1960" t="s">
        <v>1679</v>
      </c>
    </row>
    <row r="1961" spans="1:4" x14ac:dyDescent="0.25">
      <c r="A1961" s="2" t="s">
        <v>1722</v>
      </c>
      <c r="B1961" s="1">
        <v>13340</v>
      </c>
      <c r="C1961" t="s">
        <v>1710</v>
      </c>
      <c r="D1961" t="s">
        <v>1679</v>
      </c>
    </row>
    <row r="1962" spans="1:4" x14ac:dyDescent="0.25">
      <c r="A1962" s="2" t="s">
        <v>1723</v>
      </c>
      <c r="B1962" s="1">
        <v>13340</v>
      </c>
      <c r="C1962" t="s">
        <v>1710</v>
      </c>
      <c r="D1962" t="s">
        <v>1679</v>
      </c>
    </row>
    <row r="1963" spans="1:4" x14ac:dyDescent="0.25">
      <c r="A1963" s="2" t="s">
        <v>1724</v>
      </c>
      <c r="B1963" s="1">
        <v>13319</v>
      </c>
      <c r="C1963" t="s">
        <v>1710</v>
      </c>
      <c r="D1963" t="s">
        <v>1679</v>
      </c>
    </row>
    <row r="1964" spans="1:4" x14ac:dyDescent="0.25">
      <c r="A1964" s="2" t="s">
        <v>1725</v>
      </c>
      <c r="B1964" s="1">
        <v>13298</v>
      </c>
      <c r="C1964" t="s">
        <v>1710</v>
      </c>
      <c r="D1964" t="s">
        <v>1679</v>
      </c>
    </row>
    <row r="1965" spans="1:4" x14ac:dyDescent="0.25">
      <c r="A1965" s="2" t="s">
        <v>1726</v>
      </c>
      <c r="B1965" s="1">
        <v>13306</v>
      </c>
      <c r="C1965" t="s">
        <v>1710</v>
      </c>
      <c r="D1965" t="s">
        <v>1679</v>
      </c>
    </row>
    <row r="1966" spans="1:4" x14ac:dyDescent="0.25">
      <c r="A1966" s="2" t="s">
        <v>1727</v>
      </c>
      <c r="B1966" s="1">
        <v>13343</v>
      </c>
      <c r="C1966" t="s">
        <v>1710</v>
      </c>
      <c r="D1966" t="s">
        <v>1679</v>
      </c>
    </row>
    <row r="1967" spans="1:4" x14ac:dyDescent="0.25">
      <c r="A1967" s="2" t="s">
        <v>1728</v>
      </c>
      <c r="B1967" s="1">
        <v>13410</v>
      </c>
      <c r="C1967" t="s">
        <v>1710</v>
      </c>
      <c r="D1967" t="s">
        <v>1679</v>
      </c>
    </row>
    <row r="1968" spans="1:4" x14ac:dyDescent="0.25">
      <c r="A1968" s="2" t="s">
        <v>1729</v>
      </c>
      <c r="B1968" s="1">
        <v>13410</v>
      </c>
      <c r="C1968" t="s">
        <v>1710</v>
      </c>
      <c r="D1968" t="s">
        <v>1679</v>
      </c>
    </row>
    <row r="1969" spans="1:4" x14ac:dyDescent="0.25">
      <c r="A1969" s="2" t="s">
        <v>1730</v>
      </c>
      <c r="B1969" s="1">
        <v>13410</v>
      </c>
      <c r="C1969" t="s">
        <v>1710</v>
      </c>
      <c r="D1969" t="s">
        <v>1679</v>
      </c>
    </row>
    <row r="1970" spans="1:4" x14ac:dyDescent="0.25">
      <c r="A1970" s="2" t="s">
        <v>1731</v>
      </c>
      <c r="B1970" s="1">
        <v>13297</v>
      </c>
      <c r="C1970" t="s">
        <v>1710</v>
      </c>
      <c r="D1970" t="s">
        <v>1679</v>
      </c>
    </row>
    <row r="1971" spans="1:4" x14ac:dyDescent="0.25">
      <c r="A1971" s="2" t="s">
        <v>1732</v>
      </c>
      <c r="B1971" s="1">
        <v>13296</v>
      </c>
      <c r="C1971" t="s">
        <v>1710</v>
      </c>
      <c r="D1971" t="s">
        <v>1679</v>
      </c>
    </row>
    <row r="1972" spans="1:4" x14ac:dyDescent="0.25">
      <c r="A1972" s="2" t="s">
        <v>1733</v>
      </c>
      <c r="B1972" s="1">
        <v>13316</v>
      </c>
      <c r="C1972" t="s">
        <v>1710</v>
      </c>
      <c r="D1972" t="s">
        <v>1679</v>
      </c>
    </row>
    <row r="1973" spans="1:4" x14ac:dyDescent="0.25">
      <c r="A1973" s="2" t="s">
        <v>1734</v>
      </c>
      <c r="B1973" s="1">
        <v>13316</v>
      </c>
      <c r="C1973" t="s">
        <v>1710</v>
      </c>
      <c r="D1973" t="s">
        <v>1679</v>
      </c>
    </row>
    <row r="1974" spans="1:4" x14ac:dyDescent="0.25">
      <c r="A1974" s="2" t="s">
        <v>1735</v>
      </c>
      <c r="B1974" s="1">
        <v>13295</v>
      </c>
      <c r="C1974" t="s">
        <v>1710</v>
      </c>
      <c r="D1974" t="s">
        <v>1679</v>
      </c>
    </row>
    <row r="1975" spans="1:4" x14ac:dyDescent="0.25">
      <c r="A1975" s="2" t="s">
        <v>1736</v>
      </c>
      <c r="B1975" s="1">
        <v>13295</v>
      </c>
      <c r="C1975" t="s">
        <v>1710</v>
      </c>
      <c r="D1975" t="s">
        <v>1679</v>
      </c>
    </row>
    <row r="1976" spans="1:4" x14ac:dyDescent="0.25">
      <c r="A1976" s="2" t="s">
        <v>1737</v>
      </c>
      <c r="B1976" s="1">
        <v>13295</v>
      </c>
      <c r="C1976" t="s">
        <v>1710</v>
      </c>
      <c r="D1976" t="s">
        <v>1679</v>
      </c>
    </row>
    <row r="1977" spans="1:4" x14ac:dyDescent="0.25">
      <c r="A1977" s="2" t="s">
        <v>1738</v>
      </c>
      <c r="B1977" s="1">
        <v>13312</v>
      </c>
      <c r="C1977" t="s">
        <v>1710</v>
      </c>
      <c r="D1977" t="s">
        <v>1679</v>
      </c>
    </row>
    <row r="1978" spans="1:4" x14ac:dyDescent="0.25">
      <c r="A1978" s="2" t="s">
        <v>1739</v>
      </c>
      <c r="B1978" s="1">
        <v>13336</v>
      </c>
      <c r="C1978" t="s">
        <v>1710</v>
      </c>
      <c r="D1978" t="s">
        <v>1679</v>
      </c>
    </row>
    <row r="1979" spans="1:4" x14ac:dyDescent="0.25">
      <c r="A1979" s="2" t="s">
        <v>1740</v>
      </c>
      <c r="B1979" s="1">
        <v>13321</v>
      </c>
      <c r="C1979" t="s">
        <v>1710</v>
      </c>
      <c r="D1979" t="s">
        <v>1679</v>
      </c>
    </row>
    <row r="1980" spans="1:4" x14ac:dyDescent="0.25">
      <c r="A1980" s="2" t="s">
        <v>1741</v>
      </c>
      <c r="B1980" s="1">
        <v>13321</v>
      </c>
      <c r="C1980" t="s">
        <v>1742</v>
      </c>
      <c r="D1980" t="s">
        <v>1679</v>
      </c>
    </row>
    <row r="1981" spans="1:4" x14ac:dyDescent="0.25">
      <c r="A1981" s="2" t="s">
        <v>1743</v>
      </c>
      <c r="B1981" s="1">
        <v>13311</v>
      </c>
      <c r="C1981" t="s">
        <v>1742</v>
      </c>
      <c r="D1981" t="s">
        <v>1679</v>
      </c>
    </row>
    <row r="1982" spans="1:4" x14ac:dyDescent="0.25">
      <c r="A1982" s="2" t="s">
        <v>1744</v>
      </c>
      <c r="B1982" s="1">
        <v>13311</v>
      </c>
      <c r="C1982" t="s">
        <v>1742</v>
      </c>
      <c r="D1982" t="s">
        <v>1679</v>
      </c>
    </row>
    <row r="1983" spans="1:4" x14ac:dyDescent="0.25">
      <c r="A1983" s="2" t="s">
        <v>1745</v>
      </c>
      <c r="B1983" s="1">
        <v>13311</v>
      </c>
      <c r="C1983" t="s">
        <v>1742</v>
      </c>
      <c r="D1983" t="s">
        <v>1679</v>
      </c>
    </row>
    <row r="1984" spans="1:4" x14ac:dyDescent="0.25">
      <c r="A1984" s="2" t="s">
        <v>1746</v>
      </c>
      <c r="B1984" s="1">
        <v>13287</v>
      </c>
      <c r="C1984" t="s">
        <v>1742</v>
      </c>
      <c r="D1984" t="s">
        <v>1679</v>
      </c>
    </row>
    <row r="1985" spans="1:4" x14ac:dyDescent="0.25">
      <c r="A1985" s="2" t="s">
        <v>1747</v>
      </c>
      <c r="B1985" s="1">
        <v>13285</v>
      </c>
      <c r="C1985" t="s">
        <v>1742</v>
      </c>
      <c r="D1985" t="s">
        <v>1679</v>
      </c>
    </row>
    <row r="1986" spans="1:4" x14ac:dyDescent="0.25">
      <c r="A1986" s="2" t="s">
        <v>1748</v>
      </c>
      <c r="B1986" s="1">
        <v>13307</v>
      </c>
      <c r="C1986" t="s">
        <v>1742</v>
      </c>
      <c r="D1986" t="s">
        <v>1679</v>
      </c>
    </row>
    <row r="1987" spans="1:4" x14ac:dyDescent="0.25">
      <c r="A1987" s="2" t="s">
        <v>1749</v>
      </c>
      <c r="B1987" s="1">
        <v>13316</v>
      </c>
      <c r="C1987" t="s">
        <v>1742</v>
      </c>
      <c r="D1987" t="s">
        <v>1679</v>
      </c>
    </row>
    <row r="1988" spans="1:4" x14ac:dyDescent="0.25">
      <c r="A1988" s="2" t="s">
        <v>1750</v>
      </c>
      <c r="B1988" s="1">
        <v>13292</v>
      </c>
      <c r="C1988" t="s">
        <v>1742</v>
      </c>
      <c r="D1988" t="s">
        <v>1679</v>
      </c>
    </row>
    <row r="1989" spans="1:4" x14ac:dyDescent="0.25">
      <c r="A1989" s="2" t="s">
        <v>1751</v>
      </c>
      <c r="B1989" s="1">
        <v>13292</v>
      </c>
      <c r="C1989" t="s">
        <v>1742</v>
      </c>
      <c r="D1989" t="s">
        <v>1679</v>
      </c>
    </row>
    <row r="1990" spans="1:4" x14ac:dyDescent="0.25">
      <c r="A1990" s="2" t="s">
        <v>1752</v>
      </c>
      <c r="B1990" s="1">
        <v>13292</v>
      </c>
      <c r="C1990" t="s">
        <v>1742</v>
      </c>
      <c r="D1990" t="s">
        <v>1679</v>
      </c>
    </row>
    <row r="1991" spans="1:4" x14ac:dyDescent="0.25">
      <c r="A1991" s="2" t="s">
        <v>1753</v>
      </c>
      <c r="B1991" s="1">
        <v>13292</v>
      </c>
      <c r="C1991" t="s">
        <v>1742</v>
      </c>
      <c r="D1991" t="s">
        <v>1679</v>
      </c>
    </row>
    <row r="1992" spans="1:4" x14ac:dyDescent="0.25">
      <c r="A1992" s="2" t="s">
        <v>1754</v>
      </c>
      <c r="B1992" s="1">
        <v>13294</v>
      </c>
      <c r="C1992" t="s">
        <v>1742</v>
      </c>
      <c r="D1992" t="s">
        <v>1679</v>
      </c>
    </row>
    <row r="1993" spans="1:4" x14ac:dyDescent="0.25">
      <c r="A1993" s="2" t="s">
        <v>1755</v>
      </c>
      <c r="B1993" s="1">
        <v>13286</v>
      </c>
      <c r="C1993" t="s">
        <v>1742</v>
      </c>
      <c r="D1993" t="s">
        <v>1679</v>
      </c>
    </row>
    <row r="1994" spans="1:4" x14ac:dyDescent="0.25">
      <c r="A1994" s="2" t="s">
        <v>1756</v>
      </c>
      <c r="B1994" s="1">
        <v>13282</v>
      </c>
      <c r="C1994" t="s">
        <v>1742</v>
      </c>
      <c r="D1994" t="s">
        <v>1679</v>
      </c>
    </row>
    <row r="1995" spans="1:4" x14ac:dyDescent="0.25">
      <c r="A1995" s="2" t="s">
        <v>1757</v>
      </c>
      <c r="B1995" s="1">
        <v>13298</v>
      </c>
      <c r="C1995" t="s">
        <v>1742</v>
      </c>
      <c r="D1995" t="s">
        <v>1679</v>
      </c>
    </row>
    <row r="1996" spans="1:4" x14ac:dyDescent="0.25">
      <c r="A1996" s="2" t="s">
        <v>1758</v>
      </c>
      <c r="B1996" s="1">
        <v>13298</v>
      </c>
      <c r="C1996" t="s">
        <v>1742</v>
      </c>
      <c r="D1996" t="s">
        <v>1679</v>
      </c>
    </row>
    <row r="1997" spans="1:4" x14ac:dyDescent="0.25">
      <c r="A1997" s="2" t="s">
        <v>1759</v>
      </c>
      <c r="B1997" s="1">
        <v>13298</v>
      </c>
      <c r="C1997" t="s">
        <v>1742</v>
      </c>
      <c r="D1997" t="s">
        <v>1679</v>
      </c>
    </row>
    <row r="1998" spans="1:4" x14ac:dyDescent="0.25">
      <c r="A1998" s="2" t="s">
        <v>1760</v>
      </c>
      <c r="B1998" s="1">
        <v>13286</v>
      </c>
      <c r="C1998" t="s">
        <v>1742</v>
      </c>
      <c r="D1998" t="s">
        <v>1679</v>
      </c>
    </row>
    <row r="1999" spans="1:4" x14ac:dyDescent="0.25">
      <c r="A1999" s="2" t="s">
        <v>1761</v>
      </c>
      <c r="B1999" s="1">
        <v>13297</v>
      </c>
      <c r="C1999" t="s">
        <v>1742</v>
      </c>
      <c r="D1999" t="s">
        <v>1679</v>
      </c>
    </row>
    <row r="2000" spans="1:4" x14ac:dyDescent="0.25">
      <c r="A2000" s="2" t="s">
        <v>1762</v>
      </c>
      <c r="B2000" s="1">
        <v>13301</v>
      </c>
      <c r="C2000" t="s">
        <v>1742</v>
      </c>
      <c r="D2000" t="s">
        <v>1679</v>
      </c>
    </row>
    <row r="2001" spans="1:4" x14ac:dyDescent="0.25">
      <c r="A2001" s="2" t="s">
        <v>1763</v>
      </c>
      <c r="B2001" s="1">
        <v>13319</v>
      </c>
      <c r="C2001" t="s">
        <v>1742</v>
      </c>
      <c r="D2001" t="s">
        <v>1679</v>
      </c>
    </row>
    <row r="2002" spans="1:4" x14ac:dyDescent="0.25">
      <c r="A2002" s="2" t="s">
        <v>1764</v>
      </c>
      <c r="B2002" s="1">
        <v>13319</v>
      </c>
      <c r="C2002" t="s">
        <v>1742</v>
      </c>
      <c r="D2002" t="s">
        <v>1679</v>
      </c>
    </row>
    <row r="2003" spans="1:4" x14ac:dyDescent="0.25">
      <c r="A2003" s="2" t="s">
        <v>1765</v>
      </c>
      <c r="B2003" s="1">
        <v>13319</v>
      </c>
      <c r="C2003" t="s">
        <v>1742</v>
      </c>
      <c r="D2003" t="s">
        <v>1679</v>
      </c>
    </row>
    <row r="2004" spans="1:4" x14ac:dyDescent="0.25">
      <c r="A2004" s="2" t="s">
        <v>1766</v>
      </c>
      <c r="B2004" s="1">
        <v>13319</v>
      </c>
      <c r="C2004" t="s">
        <v>1742</v>
      </c>
      <c r="D2004" t="s">
        <v>1679</v>
      </c>
    </row>
    <row r="2005" spans="1:4" x14ac:dyDescent="0.25">
      <c r="A2005" s="2" t="s">
        <v>1767</v>
      </c>
      <c r="B2005" s="1">
        <v>13319</v>
      </c>
      <c r="C2005" t="s">
        <v>1742</v>
      </c>
      <c r="D2005" t="s">
        <v>1679</v>
      </c>
    </row>
    <row r="2006" spans="1:4" x14ac:dyDescent="0.25">
      <c r="A2006" s="2" t="s">
        <v>1768</v>
      </c>
      <c r="B2006" s="1">
        <v>13319</v>
      </c>
      <c r="C2006" t="s">
        <v>1742</v>
      </c>
      <c r="D2006" t="s">
        <v>1679</v>
      </c>
    </row>
    <row r="2007" spans="1:4" x14ac:dyDescent="0.25">
      <c r="A2007" s="2" t="s">
        <v>1769</v>
      </c>
      <c r="B2007" s="1">
        <v>13319</v>
      </c>
      <c r="C2007" t="s">
        <v>1742</v>
      </c>
      <c r="D2007" t="s">
        <v>1679</v>
      </c>
    </row>
    <row r="2008" spans="1:4" x14ac:dyDescent="0.25">
      <c r="A2008" s="2" t="s">
        <v>1770</v>
      </c>
      <c r="B2008" s="1">
        <v>13319</v>
      </c>
      <c r="C2008" t="s">
        <v>1742</v>
      </c>
      <c r="D2008" t="s">
        <v>1679</v>
      </c>
    </row>
    <row r="2009" spans="1:4" x14ac:dyDescent="0.25">
      <c r="A2009" s="2" t="s">
        <v>1771</v>
      </c>
      <c r="B2009" s="1">
        <v>13319</v>
      </c>
      <c r="C2009" t="s">
        <v>1742</v>
      </c>
      <c r="D2009" t="s">
        <v>1679</v>
      </c>
    </row>
    <row r="2010" spans="1:4" x14ac:dyDescent="0.25">
      <c r="A2010" s="2" t="s">
        <v>1772</v>
      </c>
      <c r="B2010" s="1">
        <v>13319</v>
      </c>
      <c r="C2010" t="s">
        <v>1773</v>
      </c>
      <c r="D2010" t="s">
        <v>1774</v>
      </c>
    </row>
    <row r="2011" spans="1:4" x14ac:dyDescent="0.25">
      <c r="A2011" s="2" t="s">
        <v>1775</v>
      </c>
      <c r="B2011" s="1">
        <v>13319</v>
      </c>
      <c r="C2011" t="s">
        <v>1773</v>
      </c>
      <c r="D2011" t="s">
        <v>1774</v>
      </c>
    </row>
    <row r="2012" spans="1:4" x14ac:dyDescent="0.25">
      <c r="A2012" s="2" t="s">
        <v>1776</v>
      </c>
      <c r="B2012" s="1">
        <v>13325</v>
      </c>
      <c r="C2012" t="s">
        <v>1773</v>
      </c>
      <c r="D2012" t="s">
        <v>1774</v>
      </c>
    </row>
    <row r="2013" spans="1:4" x14ac:dyDescent="0.25">
      <c r="A2013" s="2" t="s">
        <v>1777</v>
      </c>
      <c r="B2013" s="1">
        <v>13386</v>
      </c>
      <c r="C2013" t="s">
        <v>1773</v>
      </c>
      <c r="D2013" t="s">
        <v>1774</v>
      </c>
    </row>
    <row r="2014" spans="1:4" x14ac:dyDescent="0.25">
      <c r="A2014" s="2" t="s">
        <v>1778</v>
      </c>
      <c r="B2014" s="1">
        <v>13349</v>
      </c>
      <c r="C2014" t="s">
        <v>1773</v>
      </c>
      <c r="D2014" t="s">
        <v>1774</v>
      </c>
    </row>
    <row r="2015" spans="1:4" x14ac:dyDescent="0.25">
      <c r="A2015" s="2" t="s">
        <v>1779</v>
      </c>
      <c r="B2015" s="1">
        <v>13364</v>
      </c>
      <c r="C2015" t="s">
        <v>1773</v>
      </c>
      <c r="D2015" t="s">
        <v>1774</v>
      </c>
    </row>
    <row r="2016" spans="1:4" x14ac:dyDescent="0.25">
      <c r="A2016" s="2" t="s">
        <v>1780</v>
      </c>
      <c r="B2016" s="1">
        <v>13397</v>
      </c>
      <c r="C2016" t="s">
        <v>1773</v>
      </c>
      <c r="D2016" t="s">
        <v>1774</v>
      </c>
    </row>
    <row r="2017" spans="1:4" x14ac:dyDescent="0.25">
      <c r="A2017" s="2" t="s">
        <v>1781</v>
      </c>
      <c r="B2017" s="1">
        <v>13397</v>
      </c>
      <c r="C2017" t="s">
        <v>1773</v>
      </c>
      <c r="D2017" t="s">
        <v>1774</v>
      </c>
    </row>
    <row r="2018" spans="1:4" x14ac:dyDescent="0.25">
      <c r="A2018" s="2" t="s">
        <v>1782</v>
      </c>
      <c r="B2018" s="1">
        <v>13397</v>
      </c>
      <c r="C2018" t="s">
        <v>1773</v>
      </c>
      <c r="D2018" t="s">
        <v>1774</v>
      </c>
    </row>
    <row r="2019" spans="1:4" x14ac:dyDescent="0.25">
      <c r="A2019" s="2" t="s">
        <v>1783</v>
      </c>
      <c r="B2019" s="1">
        <v>13408</v>
      </c>
      <c r="C2019" t="s">
        <v>1773</v>
      </c>
      <c r="D2019" t="s">
        <v>1774</v>
      </c>
    </row>
    <row r="2020" spans="1:4" x14ac:dyDescent="0.25">
      <c r="A2020" s="2" t="s">
        <v>1784</v>
      </c>
      <c r="B2020" s="1">
        <v>13387</v>
      </c>
      <c r="C2020" t="s">
        <v>1773</v>
      </c>
      <c r="D2020" t="s">
        <v>1774</v>
      </c>
    </row>
    <row r="2021" spans="1:4" x14ac:dyDescent="0.25">
      <c r="A2021" s="2" t="s">
        <v>1785</v>
      </c>
      <c r="B2021" s="1">
        <v>13368</v>
      </c>
      <c r="C2021" t="s">
        <v>1773</v>
      </c>
      <c r="D2021" t="s">
        <v>1774</v>
      </c>
    </row>
    <row r="2022" spans="1:4" x14ac:dyDescent="0.25">
      <c r="A2022" s="2" t="s">
        <v>1786</v>
      </c>
      <c r="B2022" s="1">
        <v>13342</v>
      </c>
      <c r="C2022" t="s">
        <v>1773</v>
      </c>
      <c r="D2022" t="s">
        <v>1774</v>
      </c>
    </row>
    <row r="2023" spans="1:4" x14ac:dyDescent="0.25">
      <c r="A2023" s="2" t="s">
        <v>1787</v>
      </c>
      <c r="B2023" s="1">
        <v>13347</v>
      </c>
      <c r="C2023" t="s">
        <v>1773</v>
      </c>
      <c r="D2023" t="s">
        <v>1774</v>
      </c>
    </row>
    <row r="2024" spans="1:4" x14ac:dyDescent="0.25">
      <c r="A2024" s="2" t="s">
        <v>1788</v>
      </c>
      <c r="B2024" s="1">
        <v>13347</v>
      </c>
      <c r="C2024" t="s">
        <v>1773</v>
      </c>
      <c r="D2024" t="s">
        <v>1774</v>
      </c>
    </row>
    <row r="2025" spans="1:4" x14ac:dyDescent="0.25">
      <c r="A2025" s="2" t="s">
        <v>1789</v>
      </c>
      <c r="B2025" s="1">
        <v>13347</v>
      </c>
      <c r="C2025" t="s">
        <v>1773</v>
      </c>
      <c r="D2025" t="s">
        <v>1774</v>
      </c>
    </row>
    <row r="2026" spans="1:4" x14ac:dyDescent="0.25">
      <c r="A2026" s="2" t="s">
        <v>1790</v>
      </c>
      <c r="B2026" s="1">
        <v>13313</v>
      </c>
      <c r="C2026" t="s">
        <v>1773</v>
      </c>
      <c r="D2026" t="s">
        <v>1774</v>
      </c>
    </row>
    <row r="2027" spans="1:4" x14ac:dyDescent="0.25">
      <c r="A2027" s="2" t="s">
        <v>1791</v>
      </c>
      <c r="B2027" s="1">
        <v>13314</v>
      </c>
      <c r="C2027" t="s">
        <v>1773</v>
      </c>
      <c r="D2027" t="s">
        <v>1774</v>
      </c>
    </row>
    <row r="2028" spans="1:4" x14ac:dyDescent="0.25">
      <c r="A2028" s="2" t="s">
        <v>1792</v>
      </c>
      <c r="B2028" s="1">
        <v>13304</v>
      </c>
      <c r="C2028" t="s">
        <v>1773</v>
      </c>
      <c r="D2028" t="s">
        <v>1774</v>
      </c>
    </row>
    <row r="2029" spans="1:4" x14ac:dyDescent="0.25">
      <c r="A2029" s="2" t="s">
        <v>1793</v>
      </c>
      <c r="B2029" s="1">
        <v>13320</v>
      </c>
      <c r="C2029" t="s">
        <v>1773</v>
      </c>
      <c r="D2029" t="s">
        <v>1774</v>
      </c>
    </row>
    <row r="2030" spans="1:4" x14ac:dyDescent="0.25">
      <c r="A2030" s="2" t="s">
        <v>1794</v>
      </c>
      <c r="B2030" s="1">
        <v>13323</v>
      </c>
      <c r="C2030" t="s">
        <v>1773</v>
      </c>
      <c r="D2030" t="s">
        <v>1774</v>
      </c>
    </row>
    <row r="2031" spans="1:4" x14ac:dyDescent="0.25">
      <c r="A2031" s="2" t="s">
        <v>1795</v>
      </c>
      <c r="B2031" s="1">
        <v>13323</v>
      </c>
      <c r="C2031" t="s">
        <v>1773</v>
      </c>
      <c r="D2031" t="s">
        <v>1774</v>
      </c>
    </row>
    <row r="2032" spans="1:4" x14ac:dyDescent="0.25">
      <c r="A2032" s="2" t="s">
        <v>1796</v>
      </c>
      <c r="B2032" s="1">
        <v>13323</v>
      </c>
      <c r="C2032" t="s">
        <v>1773</v>
      </c>
      <c r="D2032" t="s">
        <v>1774</v>
      </c>
    </row>
    <row r="2033" spans="1:4" x14ac:dyDescent="0.25">
      <c r="A2033" s="2" t="s">
        <v>1797</v>
      </c>
      <c r="B2033" s="1">
        <v>13319</v>
      </c>
      <c r="C2033" t="s">
        <v>1773</v>
      </c>
      <c r="D2033" t="s">
        <v>1774</v>
      </c>
    </row>
    <row r="2034" spans="1:4" x14ac:dyDescent="0.25">
      <c r="A2034" s="2" t="s">
        <v>1798</v>
      </c>
      <c r="B2034" s="1">
        <v>13320</v>
      </c>
      <c r="C2034" t="s">
        <v>1773</v>
      </c>
      <c r="D2034" t="s">
        <v>1774</v>
      </c>
    </row>
    <row r="2035" spans="1:4" x14ac:dyDescent="0.25">
      <c r="A2035" s="2" t="s">
        <v>1799</v>
      </c>
      <c r="B2035" s="1">
        <v>13334</v>
      </c>
      <c r="C2035" t="s">
        <v>1773</v>
      </c>
      <c r="D2035" t="s">
        <v>1774</v>
      </c>
    </row>
    <row r="2036" spans="1:4" x14ac:dyDescent="0.25">
      <c r="A2036" s="2" t="s">
        <v>1800</v>
      </c>
      <c r="B2036" s="1">
        <v>13315</v>
      </c>
      <c r="C2036" t="s">
        <v>1773</v>
      </c>
      <c r="D2036" t="s">
        <v>1774</v>
      </c>
    </row>
    <row r="2037" spans="1:4" x14ac:dyDescent="0.25">
      <c r="A2037" s="2" t="s">
        <v>1801</v>
      </c>
      <c r="B2037" s="1">
        <v>13326</v>
      </c>
      <c r="C2037" t="s">
        <v>1773</v>
      </c>
      <c r="D2037" t="s">
        <v>1774</v>
      </c>
    </row>
    <row r="2038" spans="1:4" x14ac:dyDescent="0.25">
      <c r="A2038" s="2" t="s">
        <v>1802</v>
      </c>
      <c r="B2038" s="1">
        <v>13326</v>
      </c>
      <c r="C2038" t="s">
        <v>1773</v>
      </c>
      <c r="D2038" t="s">
        <v>1774</v>
      </c>
    </row>
    <row r="2039" spans="1:4" x14ac:dyDescent="0.25">
      <c r="A2039" s="2" t="s">
        <v>1803</v>
      </c>
      <c r="B2039" s="1">
        <v>13326</v>
      </c>
      <c r="C2039" t="s">
        <v>1773</v>
      </c>
      <c r="D2039" t="s">
        <v>1774</v>
      </c>
    </row>
    <row r="2040" spans="1:4" x14ac:dyDescent="0.25">
      <c r="A2040" s="2" t="s">
        <v>1804</v>
      </c>
      <c r="B2040" s="1">
        <v>13323</v>
      </c>
      <c r="C2040" t="s">
        <v>1773</v>
      </c>
      <c r="D2040" t="s">
        <v>1774</v>
      </c>
    </row>
    <row r="2041" spans="1:4" x14ac:dyDescent="0.25">
      <c r="A2041" s="2" t="s">
        <v>1805</v>
      </c>
      <c r="B2041" s="1">
        <v>13318</v>
      </c>
      <c r="C2041" t="s">
        <v>1806</v>
      </c>
      <c r="D2041" t="s">
        <v>1774</v>
      </c>
    </row>
    <row r="2042" spans="1:4" x14ac:dyDescent="0.25">
      <c r="A2042" s="2" t="s">
        <v>1807</v>
      </c>
      <c r="B2042" s="1">
        <v>13331</v>
      </c>
      <c r="C2042" t="s">
        <v>1806</v>
      </c>
      <c r="D2042" t="s">
        <v>1774</v>
      </c>
    </row>
    <row r="2043" spans="1:4" x14ac:dyDescent="0.25">
      <c r="A2043" s="2" t="s">
        <v>1808</v>
      </c>
      <c r="B2043" s="1">
        <v>13330</v>
      </c>
      <c r="C2043" t="s">
        <v>1806</v>
      </c>
      <c r="D2043" t="s">
        <v>1774</v>
      </c>
    </row>
    <row r="2044" spans="1:4" x14ac:dyDescent="0.25">
      <c r="A2044" s="2" t="s">
        <v>1809</v>
      </c>
      <c r="B2044" s="1">
        <v>13324</v>
      </c>
      <c r="C2044" t="s">
        <v>1806</v>
      </c>
      <c r="D2044" t="s">
        <v>1774</v>
      </c>
    </row>
    <row r="2045" spans="1:4" x14ac:dyDescent="0.25">
      <c r="A2045" s="2" t="s">
        <v>1810</v>
      </c>
      <c r="B2045" s="1">
        <v>13324</v>
      </c>
      <c r="C2045" t="s">
        <v>1806</v>
      </c>
      <c r="D2045" t="s">
        <v>1774</v>
      </c>
    </row>
    <row r="2046" spans="1:4" x14ac:dyDescent="0.25">
      <c r="A2046" s="2" t="s">
        <v>1811</v>
      </c>
      <c r="B2046" s="1">
        <v>13324</v>
      </c>
      <c r="C2046" t="s">
        <v>1806</v>
      </c>
      <c r="D2046" t="s">
        <v>1774</v>
      </c>
    </row>
    <row r="2047" spans="1:4" x14ac:dyDescent="0.25">
      <c r="A2047" s="2" t="s">
        <v>1812</v>
      </c>
      <c r="B2047" s="1">
        <v>13319</v>
      </c>
      <c r="C2047" t="s">
        <v>1806</v>
      </c>
      <c r="D2047" t="s">
        <v>1774</v>
      </c>
    </row>
    <row r="2048" spans="1:4" x14ac:dyDescent="0.25">
      <c r="A2048" s="2" t="s">
        <v>1813</v>
      </c>
      <c r="B2048" s="1">
        <v>13319</v>
      </c>
      <c r="C2048" t="s">
        <v>1806</v>
      </c>
      <c r="D2048" t="s">
        <v>1774</v>
      </c>
    </row>
    <row r="2049" spans="1:4" x14ac:dyDescent="0.25">
      <c r="A2049" s="2" t="s">
        <v>1814</v>
      </c>
      <c r="B2049" s="1">
        <v>13324</v>
      </c>
      <c r="C2049" t="s">
        <v>1806</v>
      </c>
      <c r="D2049" t="s">
        <v>1774</v>
      </c>
    </row>
    <row r="2050" spans="1:4" x14ac:dyDescent="0.25">
      <c r="A2050" s="2" t="s">
        <v>1815</v>
      </c>
      <c r="B2050" s="1">
        <v>13338</v>
      </c>
      <c r="C2050" t="s">
        <v>1806</v>
      </c>
      <c r="D2050" t="s">
        <v>1774</v>
      </c>
    </row>
    <row r="2051" spans="1:4" x14ac:dyDescent="0.25">
      <c r="A2051" s="2" t="s">
        <v>1816</v>
      </c>
      <c r="B2051" s="1">
        <v>13370</v>
      </c>
      <c r="C2051" t="s">
        <v>1806</v>
      </c>
      <c r="D2051" t="s">
        <v>1774</v>
      </c>
    </row>
    <row r="2052" spans="1:4" x14ac:dyDescent="0.25">
      <c r="A2052" s="2" t="s">
        <v>1817</v>
      </c>
      <c r="B2052" s="1">
        <v>13370</v>
      </c>
      <c r="C2052" t="s">
        <v>1806</v>
      </c>
      <c r="D2052" t="s">
        <v>1774</v>
      </c>
    </row>
    <row r="2053" spans="1:4" x14ac:dyDescent="0.25">
      <c r="A2053" s="2" t="s">
        <v>1818</v>
      </c>
      <c r="B2053" s="1">
        <v>13370</v>
      </c>
      <c r="C2053" t="s">
        <v>1806</v>
      </c>
      <c r="D2053" t="s">
        <v>1774</v>
      </c>
    </row>
    <row r="2054" spans="1:4" x14ac:dyDescent="0.25">
      <c r="A2054" s="2" t="s">
        <v>1819</v>
      </c>
      <c r="B2054" s="1">
        <v>13344</v>
      </c>
      <c r="C2054" t="s">
        <v>1806</v>
      </c>
      <c r="D2054" t="s">
        <v>1774</v>
      </c>
    </row>
    <row r="2055" spans="1:4" x14ac:dyDescent="0.25">
      <c r="A2055" s="2" t="s">
        <v>1820</v>
      </c>
      <c r="B2055" s="1">
        <v>13344</v>
      </c>
      <c r="C2055" t="s">
        <v>1806</v>
      </c>
      <c r="D2055" t="s">
        <v>1774</v>
      </c>
    </row>
    <row r="2056" spans="1:4" x14ac:dyDescent="0.25">
      <c r="A2056" s="2" t="s">
        <v>1821</v>
      </c>
      <c r="B2056" s="1">
        <v>13374</v>
      </c>
      <c r="C2056" t="s">
        <v>1806</v>
      </c>
      <c r="D2056" t="s">
        <v>1774</v>
      </c>
    </row>
    <row r="2057" spans="1:4" x14ac:dyDescent="0.25">
      <c r="A2057" s="2" t="s">
        <v>1822</v>
      </c>
      <c r="B2057" s="1">
        <v>13374</v>
      </c>
      <c r="C2057" t="s">
        <v>1806</v>
      </c>
      <c r="D2057" t="s">
        <v>1774</v>
      </c>
    </row>
    <row r="2058" spans="1:4" x14ac:dyDescent="0.25">
      <c r="A2058" s="2" t="s">
        <v>1823</v>
      </c>
      <c r="B2058" s="1">
        <v>13368</v>
      </c>
      <c r="C2058" t="s">
        <v>1806</v>
      </c>
      <c r="D2058" t="s">
        <v>1774</v>
      </c>
    </row>
    <row r="2059" spans="1:4" x14ac:dyDescent="0.25">
      <c r="A2059" s="2" t="s">
        <v>1824</v>
      </c>
      <c r="B2059" s="1">
        <v>13368</v>
      </c>
      <c r="C2059" t="s">
        <v>1806</v>
      </c>
      <c r="D2059" t="s">
        <v>1774</v>
      </c>
    </row>
    <row r="2060" spans="1:4" x14ac:dyDescent="0.25">
      <c r="A2060" s="2" t="s">
        <v>1825</v>
      </c>
      <c r="B2060" s="1">
        <v>13368</v>
      </c>
      <c r="C2060" t="s">
        <v>1806</v>
      </c>
      <c r="D2060" t="s">
        <v>1774</v>
      </c>
    </row>
    <row r="2061" spans="1:4" x14ac:dyDescent="0.25">
      <c r="A2061" s="2" t="s">
        <v>1826</v>
      </c>
      <c r="B2061" s="1">
        <v>13355</v>
      </c>
      <c r="C2061" t="s">
        <v>1806</v>
      </c>
      <c r="D2061" t="s">
        <v>1774</v>
      </c>
    </row>
    <row r="2062" spans="1:4" x14ac:dyDescent="0.25">
      <c r="A2062" s="2" t="s">
        <v>1827</v>
      </c>
      <c r="B2062" s="1">
        <v>13338</v>
      </c>
      <c r="C2062" t="s">
        <v>1806</v>
      </c>
      <c r="D2062" t="s">
        <v>1774</v>
      </c>
    </row>
    <row r="2063" spans="1:4" x14ac:dyDescent="0.25">
      <c r="A2063" s="2" t="s">
        <v>1828</v>
      </c>
      <c r="B2063" s="1">
        <v>13342</v>
      </c>
      <c r="C2063" t="s">
        <v>1806</v>
      </c>
      <c r="D2063" t="s">
        <v>1774</v>
      </c>
    </row>
    <row r="2064" spans="1:4" x14ac:dyDescent="0.25">
      <c r="A2064" s="2" t="s">
        <v>1829</v>
      </c>
      <c r="B2064" s="1">
        <v>13354</v>
      </c>
      <c r="C2064" t="s">
        <v>1806</v>
      </c>
      <c r="D2064" t="s">
        <v>1774</v>
      </c>
    </row>
    <row r="2065" spans="1:4" x14ac:dyDescent="0.25">
      <c r="A2065" s="2" t="s">
        <v>1830</v>
      </c>
      <c r="B2065" s="1">
        <v>13348</v>
      </c>
      <c r="C2065" t="s">
        <v>1806</v>
      </c>
      <c r="D2065" t="s">
        <v>1774</v>
      </c>
    </row>
    <row r="2066" spans="1:4" x14ac:dyDescent="0.25">
      <c r="A2066" s="2" t="s">
        <v>1831</v>
      </c>
      <c r="B2066" s="1">
        <v>13348</v>
      </c>
      <c r="C2066" t="s">
        <v>1806</v>
      </c>
      <c r="D2066" t="s">
        <v>1774</v>
      </c>
    </row>
    <row r="2067" spans="1:4" x14ac:dyDescent="0.25">
      <c r="A2067" s="2" t="s">
        <v>1832</v>
      </c>
      <c r="B2067" s="1">
        <v>13348</v>
      </c>
      <c r="C2067" t="s">
        <v>1806</v>
      </c>
      <c r="D2067" t="s">
        <v>1774</v>
      </c>
    </row>
    <row r="2068" spans="1:4" x14ac:dyDescent="0.25">
      <c r="A2068" s="2" t="s">
        <v>1833</v>
      </c>
      <c r="B2068" s="1">
        <v>13338</v>
      </c>
      <c r="C2068" t="s">
        <v>1806</v>
      </c>
      <c r="D2068" t="s">
        <v>1774</v>
      </c>
    </row>
    <row r="2069" spans="1:4" x14ac:dyDescent="0.25">
      <c r="A2069" s="2" t="s">
        <v>1834</v>
      </c>
      <c r="B2069" s="1">
        <v>13348</v>
      </c>
      <c r="C2069" t="s">
        <v>1806</v>
      </c>
      <c r="D2069" t="s">
        <v>1774</v>
      </c>
    </row>
    <row r="2070" spans="1:4" x14ac:dyDescent="0.25">
      <c r="A2070" s="2" t="s">
        <v>1835</v>
      </c>
      <c r="B2070" s="1">
        <v>13343</v>
      </c>
      <c r="C2070" t="s">
        <v>1806</v>
      </c>
      <c r="D2070" t="s">
        <v>1774</v>
      </c>
    </row>
    <row r="2071" spans="1:4" x14ac:dyDescent="0.25">
      <c r="A2071" s="2" t="s">
        <v>1836</v>
      </c>
      <c r="B2071" s="1">
        <v>13351</v>
      </c>
      <c r="C2071" t="s">
        <v>1806</v>
      </c>
      <c r="D2071" t="s">
        <v>1774</v>
      </c>
    </row>
    <row r="2072" spans="1:4" x14ac:dyDescent="0.25">
      <c r="A2072" s="2" t="s">
        <v>1837</v>
      </c>
      <c r="B2072" s="1">
        <v>13351</v>
      </c>
      <c r="C2072" t="s">
        <v>1838</v>
      </c>
      <c r="D2072" t="s">
        <v>1774</v>
      </c>
    </row>
    <row r="2073" spans="1:4" x14ac:dyDescent="0.25">
      <c r="A2073" s="2" t="s">
        <v>1839</v>
      </c>
      <c r="B2073" s="1">
        <v>13351</v>
      </c>
      <c r="C2073" t="s">
        <v>1838</v>
      </c>
      <c r="D2073" t="s">
        <v>1774</v>
      </c>
    </row>
    <row r="2074" spans="1:4" x14ac:dyDescent="0.25">
      <c r="A2074" s="2" t="s">
        <v>1840</v>
      </c>
      <c r="B2074" s="1">
        <v>13351</v>
      </c>
      <c r="C2074" t="s">
        <v>1838</v>
      </c>
      <c r="D2074" t="s">
        <v>1774</v>
      </c>
    </row>
    <row r="2075" spans="1:4" x14ac:dyDescent="0.25">
      <c r="A2075" s="2" t="s">
        <v>1841</v>
      </c>
      <c r="B2075" s="1">
        <v>13345</v>
      </c>
      <c r="C2075" t="s">
        <v>1838</v>
      </c>
      <c r="D2075" t="s">
        <v>1774</v>
      </c>
    </row>
    <row r="2076" spans="1:4" x14ac:dyDescent="0.25">
      <c r="A2076" s="2" t="s">
        <v>1842</v>
      </c>
      <c r="B2076" s="1">
        <v>13336</v>
      </c>
      <c r="C2076" t="s">
        <v>1838</v>
      </c>
      <c r="D2076" t="s">
        <v>1774</v>
      </c>
    </row>
    <row r="2077" spans="1:4" x14ac:dyDescent="0.25">
      <c r="A2077" s="2" t="s">
        <v>1843</v>
      </c>
      <c r="B2077" s="1">
        <v>13337</v>
      </c>
      <c r="C2077" t="s">
        <v>1838</v>
      </c>
      <c r="D2077" t="s">
        <v>1774</v>
      </c>
    </row>
    <row r="2078" spans="1:4" x14ac:dyDescent="0.25">
      <c r="A2078" s="2" t="s">
        <v>1844</v>
      </c>
      <c r="B2078" s="1">
        <v>13331</v>
      </c>
      <c r="C2078" t="s">
        <v>1838</v>
      </c>
      <c r="D2078" t="s">
        <v>1774</v>
      </c>
    </row>
    <row r="2079" spans="1:4" x14ac:dyDescent="0.25">
      <c r="A2079" s="2" t="s">
        <v>1845</v>
      </c>
      <c r="B2079" s="1">
        <v>13284</v>
      </c>
      <c r="C2079" t="s">
        <v>1838</v>
      </c>
      <c r="D2079" t="s">
        <v>1774</v>
      </c>
    </row>
    <row r="2080" spans="1:4" x14ac:dyDescent="0.25">
      <c r="A2080" s="2" t="s">
        <v>1846</v>
      </c>
      <c r="B2080" s="1">
        <v>13284</v>
      </c>
      <c r="C2080" t="s">
        <v>1838</v>
      </c>
      <c r="D2080" t="s">
        <v>1774</v>
      </c>
    </row>
    <row r="2081" spans="1:4" x14ac:dyDescent="0.25">
      <c r="A2081" s="2" t="s">
        <v>1847</v>
      </c>
      <c r="B2081" s="1">
        <v>13284</v>
      </c>
      <c r="C2081" t="s">
        <v>1838</v>
      </c>
      <c r="D2081" t="s">
        <v>1774</v>
      </c>
    </row>
    <row r="2082" spans="1:4" x14ac:dyDescent="0.25">
      <c r="A2082" s="2" t="s">
        <v>1848</v>
      </c>
      <c r="B2082" s="1">
        <v>13154</v>
      </c>
      <c r="C2082" t="s">
        <v>1838</v>
      </c>
      <c r="D2082" t="s">
        <v>1774</v>
      </c>
    </row>
    <row r="2083" spans="1:4" x14ac:dyDescent="0.25">
      <c r="A2083" s="2" t="s">
        <v>1849</v>
      </c>
      <c r="B2083" s="1">
        <v>13186</v>
      </c>
      <c r="C2083" t="s">
        <v>1838</v>
      </c>
      <c r="D2083" t="s">
        <v>1774</v>
      </c>
    </row>
    <row r="2084" spans="1:4" x14ac:dyDescent="0.25">
      <c r="A2084" s="2" t="s">
        <v>1850</v>
      </c>
      <c r="B2084" s="1">
        <v>13209</v>
      </c>
      <c r="C2084" t="s">
        <v>1838</v>
      </c>
      <c r="D2084" t="s">
        <v>1774</v>
      </c>
    </row>
    <row r="2085" spans="1:4" x14ac:dyDescent="0.25">
      <c r="A2085" s="2" t="s">
        <v>1851</v>
      </c>
      <c r="B2085" s="1">
        <v>13239</v>
      </c>
      <c r="C2085" t="s">
        <v>1838</v>
      </c>
      <c r="D2085" t="s">
        <v>1774</v>
      </c>
    </row>
    <row r="2086" spans="1:4" x14ac:dyDescent="0.25">
      <c r="A2086" s="2" t="s">
        <v>1852</v>
      </c>
      <c r="B2086" s="1">
        <v>13261</v>
      </c>
      <c r="C2086" t="s">
        <v>1838</v>
      </c>
      <c r="D2086" t="s">
        <v>1774</v>
      </c>
    </row>
    <row r="2087" spans="1:4" x14ac:dyDescent="0.25">
      <c r="A2087" s="2" t="s">
        <v>1853</v>
      </c>
      <c r="B2087" s="1">
        <v>13261</v>
      </c>
      <c r="C2087" t="s">
        <v>1838</v>
      </c>
      <c r="D2087" t="s">
        <v>1774</v>
      </c>
    </row>
    <row r="2088" spans="1:4" x14ac:dyDescent="0.25">
      <c r="A2088" s="2" t="s">
        <v>1854</v>
      </c>
      <c r="B2088" s="1">
        <v>13261</v>
      </c>
      <c r="C2088" t="s">
        <v>1838</v>
      </c>
      <c r="D2088" t="s">
        <v>1774</v>
      </c>
    </row>
    <row r="2089" spans="1:4" x14ac:dyDescent="0.25">
      <c r="A2089" s="2" t="s">
        <v>1855</v>
      </c>
      <c r="B2089" s="1">
        <v>13238</v>
      </c>
      <c r="C2089" t="s">
        <v>1838</v>
      </c>
      <c r="D2089" t="s">
        <v>1774</v>
      </c>
    </row>
    <row r="2090" spans="1:4" x14ac:dyDescent="0.25">
      <c r="A2090" s="2" t="s">
        <v>1856</v>
      </c>
      <c r="B2090" s="1">
        <v>13258</v>
      </c>
      <c r="C2090" t="s">
        <v>1838</v>
      </c>
      <c r="D2090" t="s">
        <v>1774</v>
      </c>
    </row>
    <row r="2091" spans="1:4" x14ac:dyDescent="0.25">
      <c r="A2091" s="2" t="s">
        <v>1857</v>
      </c>
      <c r="B2091" s="1">
        <v>13270</v>
      </c>
      <c r="C2091" t="s">
        <v>1838</v>
      </c>
      <c r="D2091" t="s">
        <v>1774</v>
      </c>
    </row>
    <row r="2092" spans="1:4" x14ac:dyDescent="0.25">
      <c r="A2092" s="2" t="s">
        <v>1858</v>
      </c>
      <c r="B2092" s="1">
        <v>13270</v>
      </c>
      <c r="C2092" t="s">
        <v>1838</v>
      </c>
      <c r="D2092" t="s">
        <v>1774</v>
      </c>
    </row>
    <row r="2093" spans="1:4" x14ac:dyDescent="0.25">
      <c r="A2093" s="2" t="s">
        <v>1859</v>
      </c>
      <c r="B2093" s="1">
        <v>13325</v>
      </c>
      <c r="C2093" t="s">
        <v>1838</v>
      </c>
      <c r="D2093" t="s">
        <v>1774</v>
      </c>
    </row>
    <row r="2094" spans="1:4" x14ac:dyDescent="0.25">
      <c r="A2094" s="2" t="s">
        <v>1860</v>
      </c>
      <c r="B2094" s="1">
        <v>13325</v>
      </c>
      <c r="C2094" t="s">
        <v>1838</v>
      </c>
      <c r="D2094" t="s">
        <v>1774</v>
      </c>
    </row>
    <row r="2095" spans="1:4" x14ac:dyDescent="0.25">
      <c r="A2095" s="2" t="s">
        <v>1861</v>
      </c>
      <c r="B2095" s="1">
        <v>13325</v>
      </c>
      <c r="C2095" t="s">
        <v>1838</v>
      </c>
      <c r="D2095" t="s">
        <v>1774</v>
      </c>
    </row>
    <row r="2096" spans="1:4" x14ac:dyDescent="0.25">
      <c r="A2096" s="2" t="s">
        <v>1862</v>
      </c>
      <c r="B2096" s="1">
        <v>13305</v>
      </c>
      <c r="C2096" t="s">
        <v>1838</v>
      </c>
      <c r="D2096" t="s">
        <v>1774</v>
      </c>
    </row>
    <row r="2097" spans="1:4" x14ac:dyDescent="0.25">
      <c r="A2097" s="2" t="s">
        <v>1863</v>
      </c>
      <c r="B2097" s="1">
        <v>13348</v>
      </c>
      <c r="C2097" t="s">
        <v>1838</v>
      </c>
      <c r="D2097" t="s">
        <v>1774</v>
      </c>
    </row>
    <row r="2098" spans="1:4" x14ac:dyDescent="0.25">
      <c r="A2098" s="2" t="s">
        <v>1864</v>
      </c>
      <c r="B2098" s="1">
        <v>13384</v>
      </c>
      <c r="C2098" t="s">
        <v>1838</v>
      </c>
      <c r="D2098" t="s">
        <v>1774</v>
      </c>
    </row>
    <row r="2099" spans="1:4" x14ac:dyDescent="0.25">
      <c r="A2099" s="2" t="s">
        <v>1865</v>
      </c>
      <c r="B2099" s="1">
        <v>13464</v>
      </c>
      <c r="C2099" t="s">
        <v>1838</v>
      </c>
      <c r="D2099" t="s">
        <v>1774</v>
      </c>
    </row>
    <row r="2100" spans="1:4" x14ac:dyDescent="0.25">
      <c r="A2100" s="2" t="s">
        <v>1866</v>
      </c>
      <c r="B2100" s="1">
        <v>13492</v>
      </c>
      <c r="C2100" t="s">
        <v>1838</v>
      </c>
      <c r="D2100" t="s">
        <v>1774</v>
      </c>
    </row>
    <row r="2101" spans="1:4" x14ac:dyDescent="0.25">
      <c r="A2101" s="2" t="s">
        <v>1867</v>
      </c>
      <c r="B2101" s="1">
        <v>13492</v>
      </c>
      <c r="C2101" t="s">
        <v>1838</v>
      </c>
      <c r="D2101" t="s">
        <v>1774</v>
      </c>
    </row>
    <row r="2102" spans="1:4" x14ac:dyDescent="0.25">
      <c r="A2102" s="2" t="s">
        <v>1868</v>
      </c>
      <c r="B2102" s="1">
        <v>13492</v>
      </c>
      <c r="C2102" t="s">
        <v>1869</v>
      </c>
      <c r="D2102" t="s">
        <v>1870</v>
      </c>
    </row>
    <row r="2103" spans="1:4" x14ac:dyDescent="0.25">
      <c r="A2103" s="2" t="s">
        <v>1871</v>
      </c>
      <c r="B2103" s="1">
        <v>13499</v>
      </c>
      <c r="C2103" t="s">
        <v>1869</v>
      </c>
      <c r="D2103" t="s">
        <v>1870</v>
      </c>
    </row>
    <row r="2104" spans="1:4" x14ac:dyDescent="0.25">
      <c r="A2104" s="2" t="s">
        <v>1872</v>
      </c>
      <c r="B2104" s="1">
        <v>13582</v>
      </c>
      <c r="C2104" t="s">
        <v>1869</v>
      </c>
      <c r="D2104" t="s">
        <v>1870</v>
      </c>
    </row>
    <row r="2105" spans="1:4" x14ac:dyDescent="0.25">
      <c r="A2105" s="2" t="s">
        <v>1873</v>
      </c>
      <c r="B2105" s="1">
        <v>13489</v>
      </c>
      <c r="C2105" t="s">
        <v>1869</v>
      </c>
      <c r="D2105" t="s">
        <v>1870</v>
      </c>
    </row>
    <row r="2106" spans="1:4" x14ac:dyDescent="0.25">
      <c r="A2106" s="2" t="s">
        <v>1874</v>
      </c>
      <c r="B2106" s="1">
        <v>13483</v>
      </c>
      <c r="C2106" t="s">
        <v>1869</v>
      </c>
      <c r="D2106" t="s">
        <v>1870</v>
      </c>
    </row>
    <row r="2107" spans="1:4" x14ac:dyDescent="0.25">
      <c r="A2107" s="2" t="s">
        <v>1875</v>
      </c>
      <c r="B2107" s="1">
        <v>13485</v>
      </c>
      <c r="C2107" t="s">
        <v>1869</v>
      </c>
      <c r="D2107" t="s">
        <v>1870</v>
      </c>
    </row>
    <row r="2108" spans="1:4" x14ac:dyDescent="0.25">
      <c r="A2108" s="2" t="s">
        <v>1876</v>
      </c>
      <c r="B2108" s="1">
        <v>13485</v>
      </c>
      <c r="C2108" t="s">
        <v>1869</v>
      </c>
      <c r="D2108" t="s">
        <v>1870</v>
      </c>
    </row>
    <row r="2109" spans="1:4" x14ac:dyDescent="0.25">
      <c r="A2109" s="2" t="s">
        <v>1877</v>
      </c>
      <c r="B2109" s="1">
        <v>13485</v>
      </c>
      <c r="C2109" t="s">
        <v>1869</v>
      </c>
      <c r="D2109" t="s">
        <v>1870</v>
      </c>
    </row>
    <row r="2110" spans="1:4" x14ac:dyDescent="0.25">
      <c r="A2110" s="2" t="s">
        <v>1878</v>
      </c>
      <c r="B2110" s="1">
        <v>13504</v>
      </c>
      <c r="C2110" t="s">
        <v>1869</v>
      </c>
      <c r="D2110" t="s">
        <v>1870</v>
      </c>
    </row>
    <row r="2111" spans="1:4" x14ac:dyDescent="0.25">
      <c r="A2111" s="2" t="s">
        <v>1879</v>
      </c>
      <c r="B2111" s="1">
        <v>13491</v>
      </c>
      <c r="C2111" t="s">
        <v>1869</v>
      </c>
      <c r="D2111" t="s">
        <v>1870</v>
      </c>
    </row>
    <row r="2112" spans="1:4" x14ac:dyDescent="0.25">
      <c r="A2112" s="2" t="s">
        <v>1880</v>
      </c>
      <c r="B2112" s="1">
        <v>13509</v>
      </c>
      <c r="C2112" t="s">
        <v>1869</v>
      </c>
      <c r="D2112" t="s">
        <v>1870</v>
      </c>
    </row>
    <row r="2113" spans="1:4" x14ac:dyDescent="0.25">
      <c r="A2113" s="2" t="s">
        <v>1881</v>
      </c>
      <c r="B2113" s="1">
        <v>13521</v>
      </c>
      <c r="C2113" t="s">
        <v>1869</v>
      </c>
      <c r="D2113" t="s">
        <v>1870</v>
      </c>
    </row>
    <row r="2114" spans="1:4" x14ac:dyDescent="0.25">
      <c r="A2114" s="2" t="s">
        <v>1882</v>
      </c>
      <c r="B2114" s="1">
        <v>13508</v>
      </c>
      <c r="C2114" t="s">
        <v>1869</v>
      </c>
      <c r="D2114" t="s">
        <v>1870</v>
      </c>
    </row>
    <row r="2115" spans="1:4" x14ac:dyDescent="0.25">
      <c r="A2115" s="2" t="s">
        <v>1883</v>
      </c>
      <c r="B2115" s="1">
        <v>13508</v>
      </c>
      <c r="C2115" t="s">
        <v>1869</v>
      </c>
      <c r="D2115" t="s">
        <v>1870</v>
      </c>
    </row>
    <row r="2116" spans="1:4" x14ac:dyDescent="0.25">
      <c r="A2116" s="2" t="s">
        <v>1884</v>
      </c>
      <c r="B2116" s="1">
        <v>13508</v>
      </c>
      <c r="C2116" t="s">
        <v>1869</v>
      </c>
      <c r="D2116" t="s">
        <v>1870</v>
      </c>
    </row>
    <row r="2117" spans="1:4" x14ac:dyDescent="0.25">
      <c r="A2117" s="2" t="s">
        <v>1885</v>
      </c>
      <c r="B2117" s="1">
        <v>13483</v>
      </c>
      <c r="C2117" t="s">
        <v>1869</v>
      </c>
      <c r="D2117" t="s">
        <v>1870</v>
      </c>
    </row>
    <row r="2118" spans="1:4" x14ac:dyDescent="0.25">
      <c r="A2118" s="2" t="s">
        <v>1886</v>
      </c>
      <c r="B2118" s="1">
        <v>13490</v>
      </c>
      <c r="C2118" t="s">
        <v>1869</v>
      </c>
      <c r="D2118" t="s">
        <v>1870</v>
      </c>
    </row>
    <row r="2119" spans="1:4" x14ac:dyDescent="0.25">
      <c r="A2119" s="2" t="s">
        <v>1887</v>
      </c>
      <c r="B2119" s="1">
        <v>13514</v>
      </c>
      <c r="C2119" t="s">
        <v>1869</v>
      </c>
      <c r="D2119" t="s">
        <v>1870</v>
      </c>
    </row>
    <row r="2120" spans="1:4" x14ac:dyDescent="0.25">
      <c r="A2120" s="2" t="s">
        <v>1888</v>
      </c>
      <c r="B2120" s="1">
        <v>13521</v>
      </c>
      <c r="C2120" t="s">
        <v>1869</v>
      </c>
      <c r="D2120" t="s">
        <v>1870</v>
      </c>
    </row>
    <row r="2121" spans="1:4" x14ac:dyDescent="0.25">
      <c r="A2121" s="2" t="s">
        <v>1889</v>
      </c>
      <c r="B2121" s="1">
        <v>13517</v>
      </c>
      <c r="C2121" t="s">
        <v>1869</v>
      </c>
      <c r="D2121" t="s">
        <v>1870</v>
      </c>
    </row>
    <row r="2122" spans="1:4" x14ac:dyDescent="0.25">
      <c r="A2122" s="2" t="s">
        <v>1890</v>
      </c>
      <c r="B2122" s="1">
        <v>13517</v>
      </c>
      <c r="C2122" t="s">
        <v>1869</v>
      </c>
      <c r="D2122" t="s">
        <v>1870</v>
      </c>
    </row>
    <row r="2123" spans="1:4" x14ac:dyDescent="0.25">
      <c r="A2123" s="2" t="s">
        <v>1891</v>
      </c>
      <c r="B2123" s="1">
        <v>13517</v>
      </c>
      <c r="C2123" t="s">
        <v>1869</v>
      </c>
      <c r="D2123" t="s">
        <v>1870</v>
      </c>
    </row>
    <row r="2124" spans="1:4" x14ac:dyDescent="0.25">
      <c r="A2124" s="2" t="s">
        <v>1892</v>
      </c>
      <c r="B2124" s="1">
        <v>13535</v>
      </c>
      <c r="C2124" t="s">
        <v>1869</v>
      </c>
      <c r="D2124" t="s">
        <v>1870</v>
      </c>
    </row>
    <row r="2125" spans="1:4" x14ac:dyDescent="0.25">
      <c r="A2125" s="2" t="s">
        <v>1893</v>
      </c>
      <c r="B2125" s="1">
        <v>13529</v>
      </c>
      <c r="C2125" t="s">
        <v>1869</v>
      </c>
      <c r="D2125" t="s">
        <v>1870</v>
      </c>
    </row>
    <row r="2126" spans="1:4" x14ac:dyDescent="0.25">
      <c r="A2126" s="2" t="s">
        <v>1894</v>
      </c>
      <c r="B2126" s="1">
        <v>13570</v>
      </c>
      <c r="C2126" t="s">
        <v>1869</v>
      </c>
      <c r="D2126" t="s">
        <v>1870</v>
      </c>
    </row>
    <row r="2127" spans="1:4" x14ac:dyDescent="0.25">
      <c r="A2127" s="2" t="s">
        <v>1895</v>
      </c>
      <c r="B2127" s="1">
        <v>13560</v>
      </c>
      <c r="C2127" t="s">
        <v>1869</v>
      </c>
      <c r="D2127" t="s">
        <v>1870</v>
      </c>
    </row>
    <row r="2128" spans="1:4" x14ac:dyDescent="0.25">
      <c r="A2128" s="2" t="s">
        <v>1896</v>
      </c>
      <c r="B2128" s="1">
        <v>13630</v>
      </c>
      <c r="C2128" t="s">
        <v>1869</v>
      </c>
      <c r="D2128" t="s">
        <v>1870</v>
      </c>
    </row>
    <row r="2129" spans="1:4" x14ac:dyDescent="0.25">
      <c r="A2129" s="2" t="s">
        <v>1897</v>
      </c>
      <c r="B2129" s="1">
        <v>13630</v>
      </c>
      <c r="C2129" t="s">
        <v>1869</v>
      </c>
      <c r="D2129" t="s">
        <v>1870</v>
      </c>
    </row>
    <row r="2130" spans="1:4" x14ac:dyDescent="0.25">
      <c r="A2130" s="2" t="s">
        <v>1898</v>
      </c>
      <c r="B2130" s="1">
        <v>13630</v>
      </c>
      <c r="C2130" t="s">
        <v>1869</v>
      </c>
      <c r="D2130" t="s">
        <v>1870</v>
      </c>
    </row>
    <row r="2131" spans="1:4" x14ac:dyDescent="0.25">
      <c r="A2131" s="2" t="s">
        <v>1899</v>
      </c>
      <c r="B2131" s="1">
        <v>13580</v>
      </c>
      <c r="C2131" t="s">
        <v>1869</v>
      </c>
      <c r="D2131" t="s">
        <v>1870</v>
      </c>
    </row>
    <row r="2132" spans="1:4" x14ac:dyDescent="0.25">
      <c r="A2132" s="2" t="s">
        <v>1900</v>
      </c>
      <c r="B2132" s="1">
        <v>13572</v>
      </c>
      <c r="C2132" t="s">
        <v>1869</v>
      </c>
      <c r="D2132" t="s">
        <v>1870</v>
      </c>
    </row>
    <row r="2133" spans="1:4" x14ac:dyDescent="0.25">
      <c r="A2133" s="2" t="s">
        <v>1901</v>
      </c>
      <c r="B2133" s="1">
        <v>13592</v>
      </c>
      <c r="C2133" t="s">
        <v>1902</v>
      </c>
      <c r="D2133" t="s">
        <v>1870</v>
      </c>
    </row>
    <row r="2134" spans="1:4" x14ac:dyDescent="0.25">
      <c r="A2134" s="2" t="s">
        <v>1903</v>
      </c>
      <c r="B2134" s="1">
        <v>13562</v>
      </c>
      <c r="C2134" t="s">
        <v>1902</v>
      </c>
      <c r="D2134" t="s">
        <v>1870</v>
      </c>
    </row>
    <row r="2135" spans="1:4" x14ac:dyDescent="0.25">
      <c r="A2135" s="2" t="s">
        <v>1904</v>
      </c>
      <c r="B2135" s="1">
        <v>13500</v>
      </c>
      <c r="C2135" t="s">
        <v>1902</v>
      </c>
      <c r="D2135" t="s">
        <v>1870</v>
      </c>
    </row>
    <row r="2136" spans="1:4" x14ac:dyDescent="0.25">
      <c r="A2136" s="2" t="s">
        <v>1905</v>
      </c>
      <c r="B2136" s="1">
        <v>13500</v>
      </c>
      <c r="C2136" t="s">
        <v>1902</v>
      </c>
      <c r="D2136" t="s">
        <v>1870</v>
      </c>
    </row>
    <row r="2137" spans="1:4" x14ac:dyDescent="0.25">
      <c r="A2137" s="2" t="s">
        <v>1906</v>
      </c>
      <c r="B2137" s="1">
        <v>13500</v>
      </c>
      <c r="C2137" t="s">
        <v>1902</v>
      </c>
      <c r="D2137" t="s">
        <v>1870</v>
      </c>
    </row>
    <row r="2138" spans="1:4" x14ac:dyDescent="0.25">
      <c r="A2138" s="2" t="s">
        <v>1907</v>
      </c>
      <c r="B2138" s="1">
        <v>13529</v>
      </c>
      <c r="C2138" t="s">
        <v>1902</v>
      </c>
      <c r="D2138" t="s">
        <v>1870</v>
      </c>
    </row>
    <row r="2139" spans="1:4" x14ac:dyDescent="0.25">
      <c r="A2139" s="2" t="s">
        <v>1908</v>
      </c>
      <c r="B2139" s="1">
        <v>13504</v>
      </c>
      <c r="C2139" t="s">
        <v>1902</v>
      </c>
      <c r="D2139" t="s">
        <v>1870</v>
      </c>
    </row>
    <row r="2140" spans="1:4" x14ac:dyDescent="0.25">
      <c r="A2140" s="2" t="s">
        <v>1909</v>
      </c>
      <c r="B2140" s="1">
        <v>13524</v>
      </c>
      <c r="C2140" t="s">
        <v>1902</v>
      </c>
      <c r="D2140" t="s">
        <v>1870</v>
      </c>
    </row>
    <row r="2141" spans="1:4" x14ac:dyDescent="0.25">
      <c r="A2141" s="2" t="s">
        <v>1910</v>
      </c>
      <c r="B2141" s="1">
        <v>13514</v>
      </c>
      <c r="C2141" t="s">
        <v>1902</v>
      </c>
      <c r="D2141" t="s">
        <v>1870</v>
      </c>
    </row>
    <row r="2142" spans="1:4" x14ac:dyDescent="0.25">
      <c r="A2142" s="2" t="s">
        <v>1911</v>
      </c>
      <c r="B2142" s="1">
        <v>13514</v>
      </c>
      <c r="C2142" t="s">
        <v>1902</v>
      </c>
      <c r="D2142" t="s">
        <v>1870</v>
      </c>
    </row>
    <row r="2143" spans="1:4" x14ac:dyDescent="0.25">
      <c r="A2143" s="2" t="s">
        <v>1912</v>
      </c>
      <c r="B2143" s="1">
        <v>13514</v>
      </c>
      <c r="C2143" t="s">
        <v>1902</v>
      </c>
      <c r="D2143" t="s">
        <v>1870</v>
      </c>
    </row>
    <row r="2144" spans="1:4" x14ac:dyDescent="0.25">
      <c r="A2144" s="2" t="s">
        <v>1913</v>
      </c>
      <c r="B2144" s="1">
        <v>13514</v>
      </c>
      <c r="C2144" t="s">
        <v>1902</v>
      </c>
      <c r="D2144" t="s">
        <v>1870</v>
      </c>
    </row>
    <row r="2145" spans="1:4" x14ac:dyDescent="0.25">
      <c r="A2145" s="2" t="s">
        <v>1914</v>
      </c>
      <c r="B2145" s="1">
        <v>13555</v>
      </c>
      <c r="C2145" t="s">
        <v>1902</v>
      </c>
      <c r="D2145" t="s">
        <v>1870</v>
      </c>
    </row>
    <row r="2146" spans="1:4" x14ac:dyDescent="0.25">
      <c r="A2146" s="2" t="s">
        <v>1915</v>
      </c>
      <c r="B2146" s="1">
        <v>13542</v>
      </c>
      <c r="C2146" t="s">
        <v>1902</v>
      </c>
      <c r="D2146" t="s">
        <v>1870</v>
      </c>
    </row>
    <row r="2147" spans="1:4" x14ac:dyDescent="0.25">
      <c r="A2147" s="2" t="s">
        <v>1916</v>
      </c>
      <c r="B2147" s="1">
        <v>13539</v>
      </c>
      <c r="C2147" t="s">
        <v>1902</v>
      </c>
      <c r="D2147" t="s">
        <v>1870</v>
      </c>
    </row>
    <row r="2148" spans="1:4" x14ac:dyDescent="0.25">
      <c r="A2148" s="2" t="s">
        <v>1917</v>
      </c>
      <c r="B2148" s="1">
        <v>13538</v>
      </c>
      <c r="C2148" t="s">
        <v>1902</v>
      </c>
      <c r="D2148" t="s">
        <v>1870</v>
      </c>
    </row>
    <row r="2149" spans="1:4" x14ac:dyDescent="0.25">
      <c r="A2149" s="2" t="s">
        <v>1918</v>
      </c>
      <c r="B2149" s="1">
        <v>13517</v>
      </c>
      <c r="C2149" t="s">
        <v>1902</v>
      </c>
      <c r="D2149" t="s">
        <v>1870</v>
      </c>
    </row>
    <row r="2150" spans="1:4" x14ac:dyDescent="0.25">
      <c r="A2150" s="2" t="s">
        <v>1919</v>
      </c>
      <c r="B2150" s="1">
        <v>13517</v>
      </c>
      <c r="C2150" t="s">
        <v>1902</v>
      </c>
      <c r="D2150" t="s">
        <v>1870</v>
      </c>
    </row>
    <row r="2151" spans="1:4" x14ac:dyDescent="0.25">
      <c r="A2151" s="2" t="s">
        <v>1920</v>
      </c>
      <c r="B2151" s="1">
        <v>13517</v>
      </c>
      <c r="C2151" t="s">
        <v>1902</v>
      </c>
      <c r="D2151" t="s">
        <v>1870</v>
      </c>
    </row>
    <row r="2152" spans="1:4" x14ac:dyDescent="0.25">
      <c r="A2152" s="2" t="s">
        <v>1921</v>
      </c>
      <c r="B2152" s="1">
        <v>13529</v>
      </c>
      <c r="C2152" t="s">
        <v>1902</v>
      </c>
      <c r="D2152" t="s">
        <v>1870</v>
      </c>
    </row>
    <row r="2153" spans="1:4" x14ac:dyDescent="0.25">
      <c r="A2153" s="2" t="s">
        <v>1922</v>
      </c>
      <c r="B2153" s="1">
        <v>13544</v>
      </c>
      <c r="C2153" t="s">
        <v>1902</v>
      </c>
      <c r="D2153" t="s">
        <v>1870</v>
      </c>
    </row>
    <row r="2154" spans="1:4" x14ac:dyDescent="0.25">
      <c r="A2154" s="2" t="s">
        <v>1923</v>
      </c>
      <c r="B2154" s="1">
        <v>13523</v>
      </c>
      <c r="C2154" t="s">
        <v>1902</v>
      </c>
      <c r="D2154" t="s">
        <v>1870</v>
      </c>
    </row>
    <row r="2155" spans="1:4" x14ac:dyDescent="0.25">
      <c r="A2155" s="2" t="s">
        <v>1924</v>
      </c>
      <c r="B2155" s="1">
        <v>13503</v>
      </c>
      <c r="C2155" t="s">
        <v>1902</v>
      </c>
      <c r="D2155" t="s">
        <v>1870</v>
      </c>
    </row>
    <row r="2156" spans="1:4" x14ac:dyDescent="0.25">
      <c r="A2156" s="2" t="s">
        <v>1925</v>
      </c>
      <c r="B2156" s="1">
        <v>13506</v>
      </c>
      <c r="C2156" t="s">
        <v>1902</v>
      </c>
      <c r="D2156" t="s">
        <v>1870</v>
      </c>
    </row>
    <row r="2157" spans="1:4" x14ac:dyDescent="0.25">
      <c r="A2157" s="2" t="s">
        <v>1926</v>
      </c>
      <c r="B2157" s="1">
        <v>13506</v>
      </c>
      <c r="C2157" t="s">
        <v>1902</v>
      </c>
      <c r="D2157" t="s">
        <v>1870</v>
      </c>
    </row>
    <row r="2158" spans="1:4" x14ac:dyDescent="0.25">
      <c r="A2158" s="2" t="s">
        <v>1927</v>
      </c>
      <c r="B2158" s="1">
        <v>13506</v>
      </c>
      <c r="C2158" t="s">
        <v>1902</v>
      </c>
      <c r="D2158" t="s">
        <v>1870</v>
      </c>
    </row>
    <row r="2159" spans="1:4" x14ac:dyDescent="0.25">
      <c r="A2159" s="2" t="s">
        <v>1928</v>
      </c>
      <c r="B2159" s="1">
        <v>13511</v>
      </c>
      <c r="C2159" t="s">
        <v>1902</v>
      </c>
      <c r="D2159" t="s">
        <v>1870</v>
      </c>
    </row>
    <row r="2160" spans="1:4" x14ac:dyDescent="0.25">
      <c r="A2160" s="2" t="s">
        <v>1929</v>
      </c>
      <c r="B2160" s="1">
        <v>13527</v>
      </c>
      <c r="C2160" t="s">
        <v>1902</v>
      </c>
      <c r="D2160" t="s">
        <v>1870</v>
      </c>
    </row>
    <row r="2161" spans="1:4" x14ac:dyDescent="0.25">
      <c r="A2161" s="2" t="s">
        <v>1930</v>
      </c>
      <c r="B2161" s="1">
        <v>13515</v>
      </c>
      <c r="C2161" t="s">
        <v>1902</v>
      </c>
      <c r="D2161" t="s">
        <v>1870</v>
      </c>
    </row>
    <row r="2162" spans="1:4" x14ac:dyDescent="0.25">
      <c r="A2162" s="2" t="s">
        <v>1931</v>
      </c>
      <c r="B2162" s="1">
        <v>13514</v>
      </c>
      <c r="C2162" t="s">
        <v>1902</v>
      </c>
      <c r="D2162" t="s">
        <v>1870</v>
      </c>
    </row>
    <row r="2163" spans="1:4" x14ac:dyDescent="0.25">
      <c r="A2163" s="2" t="s">
        <v>1932</v>
      </c>
      <c r="B2163" s="1">
        <v>13514</v>
      </c>
      <c r="C2163" t="s">
        <v>1933</v>
      </c>
      <c r="D2163" t="s">
        <v>1870</v>
      </c>
    </row>
    <row r="2164" spans="1:4" x14ac:dyDescent="0.25">
      <c r="A2164" s="2" t="s">
        <v>1934</v>
      </c>
      <c r="B2164" s="1">
        <v>13514</v>
      </c>
      <c r="C2164" t="s">
        <v>1933</v>
      </c>
      <c r="D2164" t="s">
        <v>1870</v>
      </c>
    </row>
    <row r="2165" spans="1:4" x14ac:dyDescent="0.25">
      <c r="A2165" s="2" t="s">
        <v>1935</v>
      </c>
      <c r="B2165" s="1">
        <v>13514</v>
      </c>
      <c r="C2165" t="s">
        <v>1933</v>
      </c>
      <c r="D2165" t="s">
        <v>1870</v>
      </c>
    </row>
    <row r="2166" spans="1:4" x14ac:dyDescent="0.25">
      <c r="A2166" s="2" t="s">
        <v>1936</v>
      </c>
      <c r="B2166" s="1">
        <v>13527</v>
      </c>
      <c r="C2166" t="s">
        <v>1933</v>
      </c>
      <c r="D2166" t="s">
        <v>1870</v>
      </c>
    </row>
    <row r="2167" spans="1:4" x14ac:dyDescent="0.25">
      <c r="A2167" s="2" t="s">
        <v>1937</v>
      </c>
      <c r="B2167" s="1">
        <v>13515</v>
      </c>
      <c r="C2167" t="s">
        <v>1933</v>
      </c>
      <c r="D2167" t="s">
        <v>1870</v>
      </c>
    </row>
    <row r="2168" spans="1:4" x14ac:dyDescent="0.25">
      <c r="A2168" s="2" t="s">
        <v>1938</v>
      </c>
      <c r="B2168" s="1">
        <v>13524</v>
      </c>
      <c r="C2168" t="s">
        <v>1933</v>
      </c>
      <c r="D2168" t="s">
        <v>1870</v>
      </c>
    </row>
    <row r="2169" spans="1:4" x14ac:dyDescent="0.25">
      <c r="A2169" s="2" t="s">
        <v>1939</v>
      </c>
      <c r="B2169" s="1">
        <v>13552</v>
      </c>
      <c r="C2169" t="s">
        <v>1933</v>
      </c>
      <c r="D2169" t="s">
        <v>1870</v>
      </c>
    </row>
    <row r="2170" spans="1:4" x14ac:dyDescent="0.25">
      <c r="A2170" s="2" t="s">
        <v>1940</v>
      </c>
      <c r="B2170" s="1">
        <v>13556</v>
      </c>
      <c r="C2170" t="s">
        <v>1933</v>
      </c>
      <c r="D2170" t="s">
        <v>1870</v>
      </c>
    </row>
    <row r="2171" spans="1:4" x14ac:dyDescent="0.25">
      <c r="A2171" s="2" t="s">
        <v>1941</v>
      </c>
      <c r="B2171" s="1">
        <v>13556</v>
      </c>
      <c r="C2171" t="s">
        <v>1933</v>
      </c>
      <c r="D2171" t="s">
        <v>1870</v>
      </c>
    </row>
    <row r="2172" spans="1:4" x14ac:dyDescent="0.25">
      <c r="A2172" s="2" t="s">
        <v>1942</v>
      </c>
      <c r="B2172" s="1">
        <v>13556</v>
      </c>
      <c r="C2172" t="s">
        <v>1933</v>
      </c>
      <c r="D2172" t="s">
        <v>1870</v>
      </c>
    </row>
    <row r="2173" spans="1:4" x14ac:dyDescent="0.25">
      <c r="A2173" s="2" t="s">
        <v>1943</v>
      </c>
      <c r="B2173" s="1">
        <v>13546</v>
      </c>
      <c r="C2173" t="s">
        <v>1933</v>
      </c>
      <c r="D2173" t="s">
        <v>1870</v>
      </c>
    </row>
    <row r="2174" spans="1:4" x14ac:dyDescent="0.25">
      <c r="A2174" s="2" t="s">
        <v>1944</v>
      </c>
      <c r="B2174" s="1">
        <v>13550</v>
      </c>
      <c r="C2174" t="s">
        <v>1933</v>
      </c>
      <c r="D2174" t="s">
        <v>1870</v>
      </c>
    </row>
    <row r="2175" spans="1:4" x14ac:dyDescent="0.25">
      <c r="A2175" s="2" t="s">
        <v>1945</v>
      </c>
      <c r="B2175" s="1">
        <v>13589</v>
      </c>
      <c r="C2175" t="s">
        <v>1933</v>
      </c>
      <c r="D2175" t="s">
        <v>1870</v>
      </c>
    </row>
    <row r="2176" spans="1:4" x14ac:dyDescent="0.25">
      <c r="A2176" s="2" t="s">
        <v>1946</v>
      </c>
      <c r="B2176" s="1">
        <v>13565</v>
      </c>
      <c r="C2176" t="s">
        <v>1933</v>
      </c>
      <c r="D2176" t="s">
        <v>1870</v>
      </c>
    </row>
    <row r="2177" spans="1:4" x14ac:dyDescent="0.25">
      <c r="A2177" s="2" t="s">
        <v>1947</v>
      </c>
      <c r="B2177" s="1">
        <v>13573</v>
      </c>
      <c r="C2177" t="s">
        <v>1933</v>
      </c>
      <c r="D2177" t="s">
        <v>1870</v>
      </c>
    </row>
    <row r="2178" spans="1:4" x14ac:dyDescent="0.25">
      <c r="A2178" s="2" t="s">
        <v>1948</v>
      </c>
      <c r="B2178" s="1">
        <v>13573</v>
      </c>
      <c r="C2178" t="s">
        <v>1933</v>
      </c>
      <c r="D2178" t="s">
        <v>1870</v>
      </c>
    </row>
    <row r="2179" spans="1:4" x14ac:dyDescent="0.25">
      <c r="A2179" s="2" t="s">
        <v>1949</v>
      </c>
      <c r="B2179" s="1">
        <v>13573</v>
      </c>
      <c r="C2179" t="s">
        <v>1933</v>
      </c>
      <c r="D2179" t="s">
        <v>1870</v>
      </c>
    </row>
    <row r="2180" spans="1:4" x14ac:dyDescent="0.25">
      <c r="A2180" s="2" t="s">
        <v>1950</v>
      </c>
      <c r="B2180" s="1">
        <v>13584</v>
      </c>
      <c r="C2180" t="s">
        <v>1933</v>
      </c>
      <c r="D2180" t="s">
        <v>1870</v>
      </c>
    </row>
    <row r="2181" spans="1:4" x14ac:dyDescent="0.25">
      <c r="A2181" s="2" t="s">
        <v>1951</v>
      </c>
      <c r="B2181" s="1">
        <v>13587</v>
      </c>
      <c r="C2181" t="s">
        <v>1933</v>
      </c>
      <c r="D2181" t="s">
        <v>1870</v>
      </c>
    </row>
    <row r="2182" spans="1:4" x14ac:dyDescent="0.25">
      <c r="A2182" s="2" t="s">
        <v>1952</v>
      </c>
      <c r="B2182" s="1">
        <v>13579</v>
      </c>
      <c r="C2182" t="s">
        <v>1933</v>
      </c>
      <c r="D2182" t="s">
        <v>1870</v>
      </c>
    </row>
    <row r="2183" spans="1:4" x14ac:dyDescent="0.25">
      <c r="A2183" s="2" t="s">
        <v>1953</v>
      </c>
      <c r="B2183" s="1">
        <v>13545</v>
      </c>
      <c r="C2183" t="s">
        <v>1933</v>
      </c>
      <c r="D2183" t="s">
        <v>1870</v>
      </c>
    </row>
    <row r="2184" spans="1:4" x14ac:dyDescent="0.25">
      <c r="A2184" s="2" t="s">
        <v>1954</v>
      </c>
      <c r="B2184" s="1">
        <v>13558</v>
      </c>
      <c r="C2184" t="s">
        <v>1933</v>
      </c>
      <c r="D2184" t="s">
        <v>1870</v>
      </c>
    </row>
    <row r="2185" spans="1:4" x14ac:dyDescent="0.25">
      <c r="A2185" s="2" t="s">
        <v>1955</v>
      </c>
      <c r="B2185" s="1">
        <v>13558</v>
      </c>
      <c r="C2185" t="s">
        <v>1933</v>
      </c>
      <c r="D2185" t="s">
        <v>1870</v>
      </c>
    </row>
    <row r="2186" spans="1:4" x14ac:dyDescent="0.25">
      <c r="A2186" s="2" t="s">
        <v>1956</v>
      </c>
      <c r="B2186" s="1">
        <v>13558</v>
      </c>
      <c r="C2186" t="s">
        <v>1933</v>
      </c>
      <c r="D2186" t="s">
        <v>1870</v>
      </c>
    </row>
    <row r="2187" spans="1:4" x14ac:dyDescent="0.25">
      <c r="A2187" s="2" t="s">
        <v>1957</v>
      </c>
      <c r="B2187" s="1">
        <v>13558</v>
      </c>
      <c r="C2187" t="s">
        <v>1933</v>
      </c>
      <c r="D2187" t="s">
        <v>1870</v>
      </c>
    </row>
    <row r="2188" spans="1:4" x14ac:dyDescent="0.25">
      <c r="A2188" s="2" t="s">
        <v>1958</v>
      </c>
      <c r="B2188" s="1">
        <v>13558</v>
      </c>
      <c r="C2188" t="s">
        <v>1933</v>
      </c>
      <c r="D2188" t="s">
        <v>1870</v>
      </c>
    </row>
    <row r="2189" spans="1:4" x14ac:dyDescent="0.25">
      <c r="A2189" s="2" t="s">
        <v>1959</v>
      </c>
      <c r="B2189" s="1">
        <v>13562</v>
      </c>
      <c r="C2189" t="s">
        <v>1933</v>
      </c>
      <c r="D2189" t="s">
        <v>1870</v>
      </c>
    </row>
    <row r="2190" spans="1:4" x14ac:dyDescent="0.25">
      <c r="A2190" s="2" t="s">
        <v>1960</v>
      </c>
      <c r="B2190" s="1">
        <v>13560</v>
      </c>
      <c r="C2190" t="s">
        <v>1933</v>
      </c>
      <c r="D2190" t="s">
        <v>1870</v>
      </c>
    </row>
    <row r="2191" spans="1:4" x14ac:dyDescent="0.25">
      <c r="A2191" s="2" t="s">
        <v>1961</v>
      </c>
      <c r="B2191" s="1">
        <v>13548</v>
      </c>
      <c r="C2191" t="s">
        <v>1933</v>
      </c>
      <c r="D2191" t="s">
        <v>1870</v>
      </c>
    </row>
    <row r="2192" spans="1:4" x14ac:dyDescent="0.25">
      <c r="A2192" s="2" t="s">
        <v>1962</v>
      </c>
      <c r="B2192" s="1">
        <v>13548</v>
      </c>
      <c r="C2192" t="s">
        <v>1933</v>
      </c>
      <c r="D2192" t="s">
        <v>1870</v>
      </c>
    </row>
    <row r="2193" spans="1:4" x14ac:dyDescent="0.25">
      <c r="A2193" s="2" t="s">
        <v>1963</v>
      </c>
      <c r="B2193" s="1">
        <v>13548</v>
      </c>
      <c r="C2193" t="s">
        <v>1933</v>
      </c>
      <c r="D2193" t="s">
        <v>1870</v>
      </c>
    </row>
    <row r="2194" spans="1:4" x14ac:dyDescent="0.25">
      <c r="A2194" s="2" t="s">
        <v>1964</v>
      </c>
      <c r="B2194" s="1">
        <v>13548</v>
      </c>
      <c r="C2194" t="s">
        <v>1965</v>
      </c>
      <c r="D2194" t="s">
        <v>1966</v>
      </c>
    </row>
    <row r="2195" spans="1:4" x14ac:dyDescent="0.25">
      <c r="A2195" s="2" t="s">
        <v>1967</v>
      </c>
      <c r="B2195" s="1">
        <v>13542</v>
      </c>
      <c r="C2195" t="s">
        <v>1965</v>
      </c>
      <c r="D2195" t="s">
        <v>1966</v>
      </c>
    </row>
    <row r="2196" spans="1:4" x14ac:dyDescent="0.25">
      <c r="A2196" s="2" t="s">
        <v>1968</v>
      </c>
      <c r="B2196" s="1">
        <v>13498</v>
      </c>
      <c r="C2196" t="s">
        <v>1965</v>
      </c>
      <c r="D2196" t="s">
        <v>1966</v>
      </c>
    </row>
    <row r="2197" spans="1:4" x14ac:dyDescent="0.25">
      <c r="A2197" s="2" t="s">
        <v>1969</v>
      </c>
      <c r="B2197" s="1">
        <v>13474</v>
      </c>
      <c r="C2197" t="s">
        <v>1965</v>
      </c>
      <c r="D2197" t="s">
        <v>1966</v>
      </c>
    </row>
    <row r="2198" spans="1:4" x14ac:dyDescent="0.25">
      <c r="A2198" s="2" t="s">
        <v>1970</v>
      </c>
      <c r="B2198" s="1">
        <v>13405</v>
      </c>
      <c r="C2198" t="s">
        <v>1965</v>
      </c>
      <c r="D2198" t="s">
        <v>1966</v>
      </c>
    </row>
    <row r="2199" spans="1:4" x14ac:dyDescent="0.25">
      <c r="A2199" s="2" t="s">
        <v>1971</v>
      </c>
      <c r="B2199" s="1">
        <v>13405</v>
      </c>
      <c r="C2199" t="s">
        <v>1965</v>
      </c>
      <c r="D2199" t="s">
        <v>1966</v>
      </c>
    </row>
    <row r="2200" spans="1:4" x14ac:dyDescent="0.25">
      <c r="A2200" s="2" t="s">
        <v>1972</v>
      </c>
      <c r="B2200" s="1">
        <v>13405</v>
      </c>
      <c r="C2200" t="s">
        <v>1965</v>
      </c>
      <c r="D2200" t="s">
        <v>1966</v>
      </c>
    </row>
    <row r="2201" spans="1:4" x14ac:dyDescent="0.25">
      <c r="A2201" s="2" t="s">
        <v>1973</v>
      </c>
      <c r="B2201" s="1">
        <v>13397</v>
      </c>
      <c r="C2201" t="s">
        <v>1965</v>
      </c>
      <c r="D2201" t="s">
        <v>1966</v>
      </c>
    </row>
    <row r="2202" spans="1:4" x14ac:dyDescent="0.25">
      <c r="A2202" s="2" t="s">
        <v>1974</v>
      </c>
      <c r="B2202" s="1">
        <v>13428</v>
      </c>
      <c r="C2202" t="s">
        <v>1965</v>
      </c>
      <c r="D2202" t="s">
        <v>1966</v>
      </c>
    </row>
    <row r="2203" spans="1:4" x14ac:dyDescent="0.25">
      <c r="A2203" s="2" t="s">
        <v>1975</v>
      </c>
      <c r="B2203" s="1">
        <v>13449</v>
      </c>
      <c r="C2203" t="s">
        <v>1965</v>
      </c>
      <c r="D2203" t="s">
        <v>1966</v>
      </c>
    </row>
    <row r="2204" spans="1:4" x14ac:dyDescent="0.25">
      <c r="A2204" s="2" t="s">
        <v>1976</v>
      </c>
      <c r="B2204" s="1">
        <v>13427</v>
      </c>
      <c r="C2204" t="s">
        <v>1965</v>
      </c>
      <c r="D2204" t="s">
        <v>1966</v>
      </c>
    </row>
    <row r="2205" spans="1:4" x14ac:dyDescent="0.25">
      <c r="A2205" s="2" t="s">
        <v>1977</v>
      </c>
      <c r="B2205" s="1">
        <v>13362</v>
      </c>
      <c r="C2205" t="s">
        <v>1965</v>
      </c>
      <c r="D2205" t="s">
        <v>1966</v>
      </c>
    </row>
    <row r="2206" spans="1:4" x14ac:dyDescent="0.25">
      <c r="A2206" s="2" t="s">
        <v>1978</v>
      </c>
      <c r="B2206" s="1">
        <v>13362</v>
      </c>
      <c r="C2206" t="s">
        <v>1965</v>
      </c>
      <c r="D2206" t="s">
        <v>1966</v>
      </c>
    </row>
    <row r="2207" spans="1:4" x14ac:dyDescent="0.25">
      <c r="A2207" s="2" t="s">
        <v>1979</v>
      </c>
      <c r="B2207" s="1">
        <v>13362</v>
      </c>
      <c r="C2207" t="s">
        <v>1965</v>
      </c>
      <c r="D2207" t="s">
        <v>1966</v>
      </c>
    </row>
    <row r="2208" spans="1:4" x14ac:dyDescent="0.25">
      <c r="A2208" s="2" t="s">
        <v>1980</v>
      </c>
      <c r="B2208" s="1">
        <v>13330</v>
      </c>
      <c r="C2208" t="s">
        <v>1965</v>
      </c>
      <c r="D2208" t="s">
        <v>1966</v>
      </c>
    </row>
    <row r="2209" spans="1:4" x14ac:dyDescent="0.25">
      <c r="A2209" s="2" t="s">
        <v>1981</v>
      </c>
      <c r="B2209" s="1">
        <v>13333</v>
      </c>
      <c r="C2209" t="s">
        <v>1965</v>
      </c>
      <c r="D2209" t="s">
        <v>1966</v>
      </c>
    </row>
    <row r="2210" spans="1:4" x14ac:dyDescent="0.25">
      <c r="A2210" s="2" t="s">
        <v>1982</v>
      </c>
      <c r="B2210" s="1">
        <v>13323</v>
      </c>
      <c r="C2210" t="s">
        <v>1965</v>
      </c>
      <c r="D2210" t="s">
        <v>1966</v>
      </c>
    </row>
    <row r="2211" spans="1:4" x14ac:dyDescent="0.25">
      <c r="A2211" s="2" t="s">
        <v>1983</v>
      </c>
      <c r="B2211" s="1">
        <v>13365</v>
      </c>
      <c r="C2211" t="s">
        <v>1965</v>
      </c>
      <c r="D2211" t="s">
        <v>1966</v>
      </c>
    </row>
    <row r="2212" spans="1:4" x14ac:dyDescent="0.25">
      <c r="A2212" s="2" t="s">
        <v>1984</v>
      </c>
      <c r="B2212" s="1">
        <v>13331</v>
      </c>
      <c r="C2212" t="s">
        <v>1965</v>
      </c>
      <c r="D2212" t="s">
        <v>1966</v>
      </c>
    </row>
    <row r="2213" spans="1:4" x14ac:dyDescent="0.25">
      <c r="A2213" s="2" t="s">
        <v>1985</v>
      </c>
      <c r="B2213" s="1">
        <v>13331</v>
      </c>
      <c r="C2213" t="s">
        <v>1965</v>
      </c>
      <c r="D2213" t="s">
        <v>1966</v>
      </c>
    </row>
    <row r="2214" spans="1:4" x14ac:dyDescent="0.25">
      <c r="A2214" s="2" t="s">
        <v>1986</v>
      </c>
      <c r="B2214" s="1">
        <v>13331</v>
      </c>
      <c r="C2214" t="s">
        <v>1965</v>
      </c>
      <c r="D2214" t="s">
        <v>1966</v>
      </c>
    </row>
    <row r="2215" spans="1:4" x14ac:dyDescent="0.25">
      <c r="A2215" s="2" t="s">
        <v>1987</v>
      </c>
      <c r="B2215" s="1">
        <v>13334</v>
      </c>
      <c r="C2215" t="s">
        <v>1965</v>
      </c>
      <c r="D2215" t="s">
        <v>1966</v>
      </c>
    </row>
    <row r="2216" spans="1:4" x14ac:dyDescent="0.25">
      <c r="A2216" s="2" t="s">
        <v>1988</v>
      </c>
      <c r="B2216" s="1">
        <v>13318</v>
      </c>
      <c r="C2216" t="s">
        <v>1965</v>
      </c>
      <c r="D2216" t="s">
        <v>1966</v>
      </c>
    </row>
    <row r="2217" spans="1:4" x14ac:dyDescent="0.25">
      <c r="A2217" s="2" t="s">
        <v>1989</v>
      </c>
      <c r="B2217" s="1">
        <v>13321</v>
      </c>
      <c r="C2217" t="s">
        <v>1965</v>
      </c>
      <c r="D2217" t="s">
        <v>1966</v>
      </c>
    </row>
    <row r="2218" spans="1:4" x14ac:dyDescent="0.25">
      <c r="A2218" s="2" t="s">
        <v>1990</v>
      </c>
      <c r="B2218" s="1">
        <v>13290</v>
      </c>
      <c r="C2218" t="s">
        <v>1965</v>
      </c>
      <c r="D2218" t="s">
        <v>1966</v>
      </c>
    </row>
    <row r="2219" spans="1:4" x14ac:dyDescent="0.25">
      <c r="A2219" s="2" t="s">
        <v>1991</v>
      </c>
      <c r="B2219" s="1">
        <v>13303</v>
      </c>
      <c r="C2219" t="s">
        <v>1965</v>
      </c>
      <c r="D2219" t="s">
        <v>1966</v>
      </c>
    </row>
    <row r="2220" spans="1:4" x14ac:dyDescent="0.25">
      <c r="A2220" s="2" t="s">
        <v>1992</v>
      </c>
      <c r="B2220" s="1">
        <v>13303</v>
      </c>
      <c r="C2220" t="s">
        <v>1965</v>
      </c>
      <c r="D2220" t="s">
        <v>1966</v>
      </c>
    </row>
    <row r="2221" spans="1:4" x14ac:dyDescent="0.25">
      <c r="A2221" s="2" t="s">
        <v>1993</v>
      </c>
      <c r="B2221" s="1">
        <v>13303</v>
      </c>
      <c r="C2221" t="s">
        <v>1965</v>
      </c>
      <c r="D2221" t="s">
        <v>1966</v>
      </c>
    </row>
    <row r="2222" spans="1:4" x14ac:dyDescent="0.25">
      <c r="A2222" s="2" t="s">
        <v>1994</v>
      </c>
      <c r="B2222" s="1">
        <v>13327</v>
      </c>
      <c r="C2222" t="s">
        <v>1965</v>
      </c>
      <c r="D2222" t="s">
        <v>1966</v>
      </c>
    </row>
    <row r="2223" spans="1:4" x14ac:dyDescent="0.25">
      <c r="A2223" s="2" t="s">
        <v>1995</v>
      </c>
      <c r="B2223" s="1">
        <v>13398</v>
      </c>
      <c r="C2223" t="s">
        <v>1965</v>
      </c>
      <c r="D2223" t="s">
        <v>1966</v>
      </c>
    </row>
    <row r="2224" spans="1:4" x14ac:dyDescent="0.25">
      <c r="A2224" s="2" t="s">
        <v>1996</v>
      </c>
      <c r="B2224" s="1">
        <v>13413</v>
      </c>
      <c r="C2224" t="s">
        <v>1965</v>
      </c>
      <c r="D2224" t="s">
        <v>1966</v>
      </c>
    </row>
    <row r="2225" spans="1:4" x14ac:dyDescent="0.25">
      <c r="A2225" s="2" t="s">
        <v>1997</v>
      </c>
      <c r="B2225" s="1">
        <v>13402</v>
      </c>
      <c r="C2225" t="s">
        <v>1998</v>
      </c>
      <c r="D2225" t="s">
        <v>1966</v>
      </c>
    </row>
    <row r="2226" spans="1:4" x14ac:dyDescent="0.25">
      <c r="A2226" s="2" t="s">
        <v>1999</v>
      </c>
      <c r="B2226" s="1">
        <v>13428</v>
      </c>
      <c r="C2226" t="s">
        <v>1998</v>
      </c>
      <c r="D2226" t="s">
        <v>1966</v>
      </c>
    </row>
    <row r="2227" spans="1:4" x14ac:dyDescent="0.25">
      <c r="A2227" s="2" t="s">
        <v>2000</v>
      </c>
      <c r="B2227" s="1">
        <v>13428</v>
      </c>
      <c r="C2227" t="s">
        <v>1998</v>
      </c>
      <c r="D2227" t="s">
        <v>1966</v>
      </c>
    </row>
    <row r="2228" spans="1:4" x14ac:dyDescent="0.25">
      <c r="A2228" s="2" t="s">
        <v>2001</v>
      </c>
      <c r="B2228" s="1">
        <v>13428</v>
      </c>
      <c r="C2228" t="s">
        <v>1998</v>
      </c>
      <c r="D2228" t="s">
        <v>1966</v>
      </c>
    </row>
    <row r="2229" spans="1:4" x14ac:dyDescent="0.25">
      <c r="A2229" s="2" t="s">
        <v>2002</v>
      </c>
      <c r="B2229" s="1">
        <v>13498</v>
      </c>
      <c r="C2229" t="s">
        <v>1998</v>
      </c>
      <c r="D2229" t="s">
        <v>1966</v>
      </c>
    </row>
    <row r="2230" spans="1:4" x14ac:dyDescent="0.25">
      <c r="A2230" s="2" t="s">
        <v>2003</v>
      </c>
      <c r="B2230" s="1">
        <v>13578</v>
      </c>
      <c r="C2230" t="s">
        <v>1998</v>
      </c>
      <c r="D2230" t="s">
        <v>1966</v>
      </c>
    </row>
    <row r="2231" spans="1:4" x14ac:dyDescent="0.25">
      <c r="A2231" s="2" t="s">
        <v>2004</v>
      </c>
      <c r="B2231" s="1">
        <v>13533</v>
      </c>
      <c r="C2231" t="s">
        <v>1998</v>
      </c>
      <c r="D2231" t="s">
        <v>1966</v>
      </c>
    </row>
    <row r="2232" spans="1:4" x14ac:dyDescent="0.25">
      <c r="A2232" s="2" t="s">
        <v>2005</v>
      </c>
      <c r="B2232" s="1">
        <v>13602</v>
      </c>
      <c r="C2232" t="s">
        <v>1998</v>
      </c>
      <c r="D2232" t="s">
        <v>1966</v>
      </c>
    </row>
    <row r="2233" spans="1:4" x14ac:dyDescent="0.25">
      <c r="A2233" s="2" t="s">
        <v>2006</v>
      </c>
      <c r="B2233" s="1">
        <v>13643</v>
      </c>
      <c r="C2233" t="s">
        <v>1998</v>
      </c>
      <c r="D2233" t="s">
        <v>1966</v>
      </c>
    </row>
    <row r="2234" spans="1:4" x14ac:dyDescent="0.25">
      <c r="A2234" s="2" t="s">
        <v>2007</v>
      </c>
      <c r="B2234" s="1">
        <v>13643</v>
      </c>
      <c r="C2234" t="s">
        <v>1998</v>
      </c>
      <c r="D2234" t="s">
        <v>1966</v>
      </c>
    </row>
    <row r="2235" spans="1:4" x14ac:dyDescent="0.25">
      <c r="A2235" s="2" t="s">
        <v>2008</v>
      </c>
      <c r="B2235" s="1">
        <v>13643</v>
      </c>
      <c r="C2235" t="s">
        <v>1998</v>
      </c>
      <c r="D2235" t="s">
        <v>1966</v>
      </c>
    </row>
    <row r="2236" spans="1:4" x14ac:dyDescent="0.25">
      <c r="A2236" s="2" t="s">
        <v>2009</v>
      </c>
      <c r="B2236" s="1">
        <v>13609</v>
      </c>
      <c r="C2236" t="s">
        <v>1998</v>
      </c>
      <c r="D2236" t="s">
        <v>1966</v>
      </c>
    </row>
    <row r="2237" spans="1:4" x14ac:dyDescent="0.25">
      <c r="A2237" s="2" t="s">
        <v>2010</v>
      </c>
      <c r="B2237" s="1">
        <v>13644</v>
      </c>
      <c r="C2237" t="s">
        <v>1998</v>
      </c>
      <c r="D2237" t="s">
        <v>1966</v>
      </c>
    </row>
    <row r="2238" spans="1:4" x14ac:dyDescent="0.25">
      <c r="A2238" s="2" t="s">
        <v>2011</v>
      </c>
      <c r="B2238" s="1">
        <v>13657</v>
      </c>
      <c r="C2238" t="s">
        <v>1998</v>
      </c>
      <c r="D2238" t="s">
        <v>1966</v>
      </c>
    </row>
    <row r="2239" spans="1:4" x14ac:dyDescent="0.25">
      <c r="A2239" s="2" t="s">
        <v>2012</v>
      </c>
      <c r="B2239" s="1">
        <v>13570</v>
      </c>
      <c r="C2239" t="s">
        <v>1998</v>
      </c>
      <c r="D2239" t="s">
        <v>1966</v>
      </c>
    </row>
    <row r="2240" spans="1:4" x14ac:dyDescent="0.25">
      <c r="A2240" s="2" t="s">
        <v>2013</v>
      </c>
      <c r="B2240" s="1">
        <v>13570</v>
      </c>
      <c r="C2240" t="s">
        <v>1998</v>
      </c>
      <c r="D2240" t="s">
        <v>1966</v>
      </c>
    </row>
    <row r="2241" spans="1:4" x14ac:dyDescent="0.25">
      <c r="A2241" s="2" t="s">
        <v>2014</v>
      </c>
      <c r="B2241" s="1">
        <v>13570</v>
      </c>
      <c r="C2241" t="s">
        <v>1998</v>
      </c>
      <c r="D2241" t="s">
        <v>1966</v>
      </c>
    </row>
    <row r="2242" spans="1:4" x14ac:dyDescent="0.25">
      <c r="A2242" s="2" t="s">
        <v>2015</v>
      </c>
      <c r="B2242" s="1">
        <v>13570</v>
      </c>
      <c r="C2242" t="s">
        <v>1998</v>
      </c>
      <c r="D2242" t="s">
        <v>1966</v>
      </c>
    </row>
    <row r="2243" spans="1:4" x14ac:dyDescent="0.25">
      <c r="A2243" s="2" t="s">
        <v>2016</v>
      </c>
      <c r="B2243" s="1">
        <v>13541</v>
      </c>
      <c r="C2243" t="s">
        <v>1998</v>
      </c>
      <c r="D2243" t="s">
        <v>1966</v>
      </c>
    </row>
    <row r="2244" spans="1:4" x14ac:dyDescent="0.25">
      <c r="A2244" s="2" t="s">
        <v>2017</v>
      </c>
      <c r="B2244" s="1">
        <v>13573</v>
      </c>
      <c r="C2244" t="s">
        <v>1998</v>
      </c>
      <c r="D2244" t="s">
        <v>1966</v>
      </c>
    </row>
    <row r="2245" spans="1:4" x14ac:dyDescent="0.25">
      <c r="A2245" s="2" t="s">
        <v>2018</v>
      </c>
      <c r="B2245" s="1">
        <v>13582</v>
      </c>
      <c r="C2245" t="s">
        <v>1998</v>
      </c>
      <c r="D2245" t="s">
        <v>1966</v>
      </c>
    </row>
    <row r="2246" spans="1:4" x14ac:dyDescent="0.25">
      <c r="A2246" s="2" t="s">
        <v>2019</v>
      </c>
      <c r="B2246" s="1">
        <v>13665</v>
      </c>
      <c r="C2246" t="s">
        <v>1998</v>
      </c>
      <c r="D2246" t="s">
        <v>1966</v>
      </c>
    </row>
    <row r="2247" spans="1:4" x14ac:dyDescent="0.25">
      <c r="A2247" s="2" t="s">
        <v>2020</v>
      </c>
      <c r="B2247" s="1">
        <v>13670</v>
      </c>
      <c r="C2247" t="s">
        <v>1998</v>
      </c>
      <c r="D2247" t="s">
        <v>1966</v>
      </c>
    </row>
    <row r="2248" spans="1:4" x14ac:dyDescent="0.25">
      <c r="A2248" s="2" t="s">
        <v>2021</v>
      </c>
      <c r="B2248" s="1">
        <v>13670</v>
      </c>
      <c r="C2248" t="s">
        <v>1998</v>
      </c>
      <c r="D2248" t="s">
        <v>1966</v>
      </c>
    </row>
    <row r="2249" spans="1:4" x14ac:dyDescent="0.25">
      <c r="A2249" s="2" t="s">
        <v>2022</v>
      </c>
      <c r="B2249" s="1">
        <v>13670</v>
      </c>
      <c r="C2249" t="s">
        <v>1998</v>
      </c>
      <c r="D2249" t="s">
        <v>1966</v>
      </c>
    </row>
    <row r="2250" spans="1:4" x14ac:dyDescent="0.25">
      <c r="A2250" s="2" t="s">
        <v>2023</v>
      </c>
      <c r="B2250" s="1">
        <v>13659</v>
      </c>
      <c r="C2250" t="s">
        <v>1998</v>
      </c>
      <c r="D2250" t="s">
        <v>1966</v>
      </c>
    </row>
    <row r="2251" spans="1:4" x14ac:dyDescent="0.25">
      <c r="A2251" s="2" t="s">
        <v>2024</v>
      </c>
      <c r="B2251" s="1">
        <v>13650</v>
      </c>
      <c r="C2251" t="s">
        <v>1998</v>
      </c>
      <c r="D2251" t="s">
        <v>1966</v>
      </c>
    </row>
    <row r="2252" spans="1:4" x14ac:dyDescent="0.25">
      <c r="A2252" s="2" t="s">
        <v>2025</v>
      </c>
      <c r="B2252" s="1">
        <v>13707</v>
      </c>
      <c r="C2252" t="s">
        <v>1998</v>
      </c>
      <c r="D2252" t="s">
        <v>1966</v>
      </c>
    </row>
    <row r="2253" spans="1:4" x14ac:dyDescent="0.25">
      <c r="A2253" s="2" t="s">
        <v>2026</v>
      </c>
      <c r="B2253" s="1">
        <v>13793</v>
      </c>
      <c r="C2253" t="s">
        <v>2027</v>
      </c>
      <c r="D2253" t="s">
        <v>1966</v>
      </c>
    </row>
    <row r="2254" spans="1:4" x14ac:dyDescent="0.25">
      <c r="A2254" s="2" t="s">
        <v>2028</v>
      </c>
      <c r="B2254" s="1">
        <v>13746</v>
      </c>
      <c r="C2254" t="s">
        <v>2027</v>
      </c>
      <c r="D2254" t="s">
        <v>1966</v>
      </c>
    </row>
    <row r="2255" spans="1:4" x14ac:dyDescent="0.25">
      <c r="A2255" s="2" t="s">
        <v>2029</v>
      </c>
      <c r="B2255" s="1">
        <v>13746</v>
      </c>
      <c r="C2255" t="s">
        <v>2027</v>
      </c>
      <c r="D2255" t="s">
        <v>1966</v>
      </c>
    </row>
    <row r="2256" spans="1:4" x14ac:dyDescent="0.25">
      <c r="A2256" s="2" t="s">
        <v>2030</v>
      </c>
      <c r="B2256" s="1">
        <v>13746</v>
      </c>
      <c r="C2256" t="s">
        <v>2027</v>
      </c>
      <c r="D2256" t="s">
        <v>1966</v>
      </c>
    </row>
    <row r="2257" spans="1:4" x14ac:dyDescent="0.25">
      <c r="A2257" s="2" t="s">
        <v>2031</v>
      </c>
      <c r="B2257" s="1">
        <v>13740</v>
      </c>
      <c r="C2257" t="s">
        <v>2027</v>
      </c>
      <c r="D2257" t="s">
        <v>1966</v>
      </c>
    </row>
    <row r="2258" spans="1:4" x14ac:dyDescent="0.25">
      <c r="A2258" s="2" t="s">
        <v>2032</v>
      </c>
      <c r="B2258" s="1">
        <v>13750</v>
      </c>
      <c r="C2258" t="s">
        <v>2027</v>
      </c>
      <c r="D2258" t="s">
        <v>1966</v>
      </c>
    </row>
    <row r="2259" spans="1:4" x14ac:dyDescent="0.25">
      <c r="A2259" s="2" t="s">
        <v>2033</v>
      </c>
      <c r="B2259" s="1">
        <v>13763</v>
      </c>
      <c r="C2259" t="s">
        <v>2027</v>
      </c>
      <c r="D2259" t="s">
        <v>1966</v>
      </c>
    </row>
    <row r="2260" spans="1:4" x14ac:dyDescent="0.25">
      <c r="A2260" s="2" t="s">
        <v>2034</v>
      </c>
      <c r="B2260" s="1">
        <v>13774</v>
      </c>
      <c r="C2260" t="s">
        <v>2027</v>
      </c>
      <c r="D2260" t="s">
        <v>1966</v>
      </c>
    </row>
    <row r="2261" spans="1:4" x14ac:dyDescent="0.25">
      <c r="A2261" s="2" t="s">
        <v>2035</v>
      </c>
      <c r="B2261" s="1">
        <v>13794</v>
      </c>
      <c r="C2261" t="s">
        <v>2027</v>
      </c>
      <c r="D2261" t="s">
        <v>1966</v>
      </c>
    </row>
    <row r="2262" spans="1:4" x14ac:dyDescent="0.25">
      <c r="A2262" s="2" t="s">
        <v>2036</v>
      </c>
      <c r="B2262" s="1">
        <v>13794</v>
      </c>
      <c r="C2262" t="s">
        <v>2027</v>
      </c>
      <c r="D2262" t="s">
        <v>1966</v>
      </c>
    </row>
    <row r="2263" spans="1:4" x14ac:dyDescent="0.25">
      <c r="A2263" s="2" t="s">
        <v>2037</v>
      </c>
      <c r="B2263" s="1">
        <v>13794</v>
      </c>
      <c r="C2263" t="s">
        <v>2027</v>
      </c>
      <c r="D2263" t="s">
        <v>1966</v>
      </c>
    </row>
    <row r="2264" spans="1:4" x14ac:dyDescent="0.25">
      <c r="A2264" s="2" t="s">
        <v>2038</v>
      </c>
      <c r="B2264" s="1">
        <v>13768</v>
      </c>
      <c r="C2264" t="s">
        <v>2027</v>
      </c>
      <c r="D2264" t="s">
        <v>1966</v>
      </c>
    </row>
    <row r="2265" spans="1:4" x14ac:dyDescent="0.25">
      <c r="A2265" s="2" t="s">
        <v>2039</v>
      </c>
      <c r="B2265" s="1">
        <v>13757</v>
      </c>
      <c r="C2265" t="s">
        <v>2027</v>
      </c>
      <c r="D2265" t="s">
        <v>1966</v>
      </c>
    </row>
    <row r="2266" spans="1:4" x14ac:dyDescent="0.25">
      <c r="A2266" s="2" t="s">
        <v>2040</v>
      </c>
      <c r="B2266" s="1">
        <v>13739</v>
      </c>
      <c r="C2266" t="s">
        <v>2027</v>
      </c>
      <c r="D2266" t="s">
        <v>1966</v>
      </c>
    </row>
    <row r="2267" spans="1:4" x14ac:dyDescent="0.25">
      <c r="A2267" s="2" t="s">
        <v>2041</v>
      </c>
      <c r="B2267" s="1">
        <v>13748</v>
      </c>
      <c r="C2267" t="s">
        <v>2027</v>
      </c>
      <c r="D2267" t="s">
        <v>1966</v>
      </c>
    </row>
    <row r="2268" spans="1:4" x14ac:dyDescent="0.25">
      <c r="A2268" s="2" t="s">
        <v>2042</v>
      </c>
      <c r="B2268" s="1">
        <v>13765</v>
      </c>
      <c r="C2268" t="s">
        <v>2027</v>
      </c>
      <c r="D2268" t="s">
        <v>1966</v>
      </c>
    </row>
    <row r="2269" spans="1:4" x14ac:dyDescent="0.25">
      <c r="A2269" s="2" t="s">
        <v>2043</v>
      </c>
      <c r="B2269" s="1">
        <v>13765</v>
      </c>
      <c r="C2269" t="s">
        <v>2027</v>
      </c>
      <c r="D2269" t="s">
        <v>1966</v>
      </c>
    </row>
    <row r="2270" spans="1:4" x14ac:dyDescent="0.25">
      <c r="A2270" s="2" t="s">
        <v>2044</v>
      </c>
      <c r="B2270" s="1">
        <v>13765</v>
      </c>
      <c r="C2270" t="s">
        <v>2027</v>
      </c>
      <c r="D2270" t="s">
        <v>1966</v>
      </c>
    </row>
    <row r="2271" spans="1:4" x14ac:dyDescent="0.25">
      <c r="A2271" s="2" t="s">
        <v>2045</v>
      </c>
      <c r="B2271" s="1">
        <v>13765</v>
      </c>
      <c r="C2271" t="s">
        <v>2027</v>
      </c>
      <c r="D2271" t="s">
        <v>1966</v>
      </c>
    </row>
    <row r="2272" spans="1:4" x14ac:dyDescent="0.25">
      <c r="A2272" s="2" t="s">
        <v>2046</v>
      </c>
      <c r="B2272" s="1">
        <v>13761</v>
      </c>
      <c r="C2272" t="s">
        <v>2027</v>
      </c>
      <c r="D2272" t="s">
        <v>1966</v>
      </c>
    </row>
    <row r="2273" spans="1:4" x14ac:dyDescent="0.25">
      <c r="A2273" s="2" t="s">
        <v>2047</v>
      </c>
      <c r="B2273" s="1">
        <v>13759</v>
      </c>
      <c r="C2273" t="s">
        <v>2027</v>
      </c>
      <c r="D2273" t="s">
        <v>1966</v>
      </c>
    </row>
    <row r="2274" spans="1:4" x14ac:dyDescent="0.25">
      <c r="A2274" s="2" t="s">
        <v>2048</v>
      </c>
      <c r="B2274" s="1">
        <v>13737</v>
      </c>
      <c r="C2274" t="s">
        <v>2027</v>
      </c>
      <c r="D2274" t="s">
        <v>1966</v>
      </c>
    </row>
    <row r="2275" spans="1:4" x14ac:dyDescent="0.25">
      <c r="A2275" s="2" t="s">
        <v>2049</v>
      </c>
      <c r="B2275" s="1">
        <v>13780</v>
      </c>
      <c r="C2275" t="s">
        <v>2027</v>
      </c>
      <c r="D2275" t="s">
        <v>1966</v>
      </c>
    </row>
    <row r="2276" spans="1:4" x14ac:dyDescent="0.25">
      <c r="A2276" s="2" t="s">
        <v>2050</v>
      </c>
      <c r="B2276" s="1">
        <v>13780</v>
      </c>
      <c r="C2276" t="s">
        <v>2027</v>
      </c>
      <c r="D2276" t="s">
        <v>1966</v>
      </c>
    </row>
    <row r="2277" spans="1:4" x14ac:dyDescent="0.25">
      <c r="A2277" s="2" t="s">
        <v>2051</v>
      </c>
      <c r="B2277" s="1">
        <v>13780</v>
      </c>
      <c r="C2277" t="s">
        <v>2027</v>
      </c>
      <c r="D2277" t="s">
        <v>1966</v>
      </c>
    </row>
    <row r="2278" spans="1:4" x14ac:dyDescent="0.25">
      <c r="A2278" s="2" t="s">
        <v>2052</v>
      </c>
      <c r="B2278" s="1">
        <v>13776</v>
      </c>
      <c r="C2278" t="s">
        <v>2027</v>
      </c>
      <c r="D2278" t="s">
        <v>1966</v>
      </c>
    </row>
    <row r="2279" spans="1:4" x14ac:dyDescent="0.25">
      <c r="A2279" s="2" t="s">
        <v>2053</v>
      </c>
      <c r="B2279" s="1">
        <v>13708</v>
      </c>
      <c r="C2279" t="s">
        <v>2027</v>
      </c>
      <c r="D2279" t="s">
        <v>1966</v>
      </c>
    </row>
    <row r="2280" spans="1:4" x14ac:dyDescent="0.25">
      <c r="A2280" s="2" t="s">
        <v>2054</v>
      </c>
      <c r="B2280" s="1">
        <v>13745</v>
      </c>
      <c r="C2280" t="s">
        <v>2027</v>
      </c>
      <c r="D2280" t="s">
        <v>1966</v>
      </c>
    </row>
    <row r="2281" spans="1:4" x14ac:dyDescent="0.25">
      <c r="A2281" s="2" t="s">
        <v>2055</v>
      </c>
      <c r="B2281" s="1">
        <v>13756</v>
      </c>
      <c r="C2281" t="s">
        <v>2027</v>
      </c>
      <c r="D2281" t="s">
        <v>1966</v>
      </c>
    </row>
    <row r="2282" spans="1:4" x14ac:dyDescent="0.25">
      <c r="A2282" s="2" t="s">
        <v>2056</v>
      </c>
      <c r="B2282" s="1">
        <v>13756</v>
      </c>
      <c r="C2282" t="s">
        <v>2027</v>
      </c>
      <c r="D2282" t="s">
        <v>1966</v>
      </c>
    </row>
    <row r="2283" spans="1:4" x14ac:dyDescent="0.25">
      <c r="A2283" s="2" t="s">
        <v>2057</v>
      </c>
      <c r="B2283" s="1">
        <v>13756</v>
      </c>
      <c r="C2283" t="s">
        <v>2027</v>
      </c>
      <c r="D2283" t="s">
        <v>1966</v>
      </c>
    </row>
    <row r="2284" spans="1:4" x14ac:dyDescent="0.25">
      <c r="A2284" s="2" t="s">
        <v>2058</v>
      </c>
      <c r="B2284" s="1">
        <v>13756</v>
      </c>
      <c r="C2284" t="s">
        <v>2059</v>
      </c>
      <c r="D2284" t="s">
        <v>2060</v>
      </c>
    </row>
    <row r="2285" spans="1:4" x14ac:dyDescent="0.25">
      <c r="A2285" s="2" t="s">
        <v>2061</v>
      </c>
      <c r="B2285" s="1">
        <v>13750</v>
      </c>
      <c r="C2285" t="s">
        <v>2059</v>
      </c>
      <c r="D2285" t="s">
        <v>2060</v>
      </c>
    </row>
    <row r="2286" spans="1:4" x14ac:dyDescent="0.25">
      <c r="A2286" s="2" t="s">
        <v>2062</v>
      </c>
      <c r="B2286" s="1">
        <v>13765</v>
      </c>
      <c r="C2286" t="s">
        <v>2059</v>
      </c>
      <c r="D2286" t="s">
        <v>2060</v>
      </c>
    </row>
    <row r="2287" spans="1:4" x14ac:dyDescent="0.25">
      <c r="A2287" s="2" t="s">
        <v>2063</v>
      </c>
      <c r="B2287" s="1">
        <v>13760</v>
      </c>
      <c r="C2287" t="s">
        <v>2059</v>
      </c>
      <c r="D2287" t="s">
        <v>2060</v>
      </c>
    </row>
    <row r="2288" spans="1:4" x14ac:dyDescent="0.25">
      <c r="A2288" s="2" t="s">
        <v>2064</v>
      </c>
      <c r="B2288" s="1">
        <v>13767</v>
      </c>
      <c r="C2288" t="s">
        <v>2059</v>
      </c>
      <c r="D2288" t="s">
        <v>2060</v>
      </c>
    </row>
    <row r="2289" spans="1:4" x14ac:dyDescent="0.25">
      <c r="A2289" s="2" t="s">
        <v>2065</v>
      </c>
      <c r="B2289" s="1">
        <v>13771</v>
      </c>
      <c r="C2289" t="s">
        <v>2059</v>
      </c>
      <c r="D2289" t="s">
        <v>2060</v>
      </c>
    </row>
    <row r="2290" spans="1:4" x14ac:dyDescent="0.25">
      <c r="A2290" s="2" t="s">
        <v>2066</v>
      </c>
      <c r="B2290" s="1">
        <v>13771</v>
      </c>
      <c r="C2290" t="s">
        <v>2059</v>
      </c>
      <c r="D2290" t="s">
        <v>2060</v>
      </c>
    </row>
    <row r="2291" spans="1:4" x14ac:dyDescent="0.25">
      <c r="A2291" s="2" t="s">
        <v>2067</v>
      </c>
      <c r="B2291" s="1">
        <v>13771</v>
      </c>
      <c r="C2291" t="s">
        <v>2059</v>
      </c>
      <c r="D2291" t="s">
        <v>2060</v>
      </c>
    </row>
    <row r="2292" spans="1:4" x14ac:dyDescent="0.25">
      <c r="A2292" s="2" t="s">
        <v>2068</v>
      </c>
      <c r="B2292" s="1">
        <v>13771</v>
      </c>
      <c r="C2292" t="s">
        <v>2059</v>
      </c>
      <c r="D2292" t="s">
        <v>2060</v>
      </c>
    </row>
    <row r="2293" spans="1:4" x14ac:dyDescent="0.25">
      <c r="A2293" s="2" t="s">
        <v>2069</v>
      </c>
      <c r="B2293" s="1">
        <v>13759</v>
      </c>
      <c r="C2293" t="s">
        <v>2059</v>
      </c>
      <c r="D2293" t="s">
        <v>2060</v>
      </c>
    </row>
    <row r="2294" spans="1:4" x14ac:dyDescent="0.25">
      <c r="A2294" s="2" t="s">
        <v>2070</v>
      </c>
      <c r="B2294" s="1">
        <v>13747</v>
      </c>
      <c r="C2294" t="s">
        <v>2059</v>
      </c>
      <c r="D2294" t="s">
        <v>2060</v>
      </c>
    </row>
    <row r="2295" spans="1:4" x14ac:dyDescent="0.25">
      <c r="A2295" s="2" t="s">
        <v>2071</v>
      </c>
      <c r="B2295" s="1">
        <v>13763</v>
      </c>
      <c r="C2295" t="s">
        <v>2059</v>
      </c>
      <c r="D2295" t="s">
        <v>2060</v>
      </c>
    </row>
    <row r="2296" spans="1:4" x14ac:dyDescent="0.25">
      <c r="A2296" s="2" t="s">
        <v>2072</v>
      </c>
      <c r="B2296" s="1">
        <v>13753</v>
      </c>
      <c r="C2296" t="s">
        <v>2059</v>
      </c>
      <c r="D2296" t="s">
        <v>2060</v>
      </c>
    </row>
    <row r="2297" spans="1:4" x14ac:dyDescent="0.25">
      <c r="A2297" s="2" t="s">
        <v>2073</v>
      </c>
      <c r="B2297" s="1">
        <v>13753</v>
      </c>
      <c r="C2297" t="s">
        <v>2059</v>
      </c>
      <c r="D2297" t="s">
        <v>2060</v>
      </c>
    </row>
    <row r="2298" spans="1:4" x14ac:dyDescent="0.25">
      <c r="A2298" s="2" t="s">
        <v>2074</v>
      </c>
      <c r="B2298" s="1">
        <v>13753</v>
      </c>
      <c r="C2298" t="s">
        <v>2059</v>
      </c>
      <c r="D2298" t="s">
        <v>2060</v>
      </c>
    </row>
    <row r="2299" spans="1:4" x14ac:dyDescent="0.25">
      <c r="A2299" s="2" t="s">
        <v>2075</v>
      </c>
      <c r="B2299" s="1">
        <v>13766</v>
      </c>
      <c r="C2299" t="s">
        <v>2059</v>
      </c>
      <c r="D2299" t="s">
        <v>2060</v>
      </c>
    </row>
    <row r="2300" spans="1:4" x14ac:dyDescent="0.25">
      <c r="A2300" s="2" t="s">
        <v>2076</v>
      </c>
      <c r="B2300" s="1">
        <v>13770</v>
      </c>
      <c r="C2300" t="s">
        <v>2059</v>
      </c>
      <c r="D2300" t="s">
        <v>2060</v>
      </c>
    </row>
    <row r="2301" spans="1:4" x14ac:dyDescent="0.25">
      <c r="A2301" s="2" t="s">
        <v>2077</v>
      </c>
      <c r="B2301" s="1">
        <v>13770</v>
      </c>
      <c r="C2301" t="s">
        <v>2059</v>
      </c>
      <c r="D2301" t="s">
        <v>2060</v>
      </c>
    </row>
    <row r="2302" spans="1:4" x14ac:dyDescent="0.25">
      <c r="A2302" s="2" t="s">
        <v>2078</v>
      </c>
      <c r="B2302" s="1">
        <v>13778</v>
      </c>
      <c r="C2302" t="s">
        <v>2059</v>
      </c>
      <c r="D2302" t="s">
        <v>2060</v>
      </c>
    </row>
    <row r="2303" spans="1:4" x14ac:dyDescent="0.25">
      <c r="A2303" s="2" t="s">
        <v>2079</v>
      </c>
      <c r="B2303" s="1">
        <v>13804</v>
      </c>
      <c r="C2303" t="s">
        <v>2059</v>
      </c>
      <c r="D2303" t="s">
        <v>2060</v>
      </c>
    </row>
    <row r="2304" spans="1:4" x14ac:dyDescent="0.25">
      <c r="A2304" s="2" t="s">
        <v>2080</v>
      </c>
      <c r="B2304" s="1">
        <v>13804</v>
      </c>
      <c r="C2304" t="s">
        <v>2059</v>
      </c>
      <c r="D2304" t="s">
        <v>2060</v>
      </c>
    </row>
    <row r="2305" spans="1:4" x14ac:dyDescent="0.25">
      <c r="A2305" s="2" t="s">
        <v>2081</v>
      </c>
      <c r="B2305" s="1">
        <v>13804</v>
      </c>
      <c r="C2305" t="s">
        <v>2059</v>
      </c>
      <c r="D2305" t="s">
        <v>2060</v>
      </c>
    </row>
    <row r="2306" spans="1:4" x14ac:dyDescent="0.25">
      <c r="A2306" s="2" t="s">
        <v>2082</v>
      </c>
      <c r="B2306" s="1">
        <v>13894</v>
      </c>
      <c r="C2306" t="s">
        <v>2059</v>
      </c>
      <c r="D2306" t="s">
        <v>2060</v>
      </c>
    </row>
    <row r="2307" spans="1:4" x14ac:dyDescent="0.25">
      <c r="A2307" s="2" t="s">
        <v>2083</v>
      </c>
      <c r="B2307" s="1">
        <v>13900</v>
      </c>
      <c r="C2307" t="s">
        <v>2059</v>
      </c>
      <c r="D2307" t="s">
        <v>2060</v>
      </c>
    </row>
    <row r="2308" spans="1:4" x14ac:dyDescent="0.25">
      <c r="A2308" s="2" t="s">
        <v>2084</v>
      </c>
      <c r="B2308" s="1">
        <v>13888</v>
      </c>
      <c r="C2308" t="s">
        <v>2059</v>
      </c>
      <c r="D2308" t="s">
        <v>2060</v>
      </c>
    </row>
    <row r="2309" spans="1:4" x14ac:dyDescent="0.25">
      <c r="A2309" s="2" t="s">
        <v>2085</v>
      </c>
      <c r="B2309" s="1">
        <v>13930</v>
      </c>
      <c r="C2309" t="s">
        <v>2059</v>
      </c>
      <c r="D2309" t="s">
        <v>2060</v>
      </c>
    </row>
    <row r="2310" spans="1:4" x14ac:dyDescent="0.25">
      <c r="A2310" s="2" t="s">
        <v>2086</v>
      </c>
      <c r="B2310" s="1">
        <v>13879</v>
      </c>
      <c r="C2310" t="s">
        <v>2059</v>
      </c>
      <c r="D2310" t="s">
        <v>2060</v>
      </c>
    </row>
    <row r="2311" spans="1:4" x14ac:dyDescent="0.25">
      <c r="A2311" s="2" t="s">
        <v>2087</v>
      </c>
      <c r="B2311" s="1">
        <v>13879</v>
      </c>
      <c r="C2311" t="s">
        <v>2059</v>
      </c>
      <c r="D2311" t="s">
        <v>2060</v>
      </c>
    </row>
    <row r="2312" spans="1:4" x14ac:dyDescent="0.25">
      <c r="A2312" s="2" t="s">
        <v>2088</v>
      </c>
      <c r="B2312" s="1">
        <v>13879</v>
      </c>
      <c r="C2312" t="s">
        <v>2059</v>
      </c>
      <c r="D2312" t="s">
        <v>2060</v>
      </c>
    </row>
    <row r="2313" spans="1:4" x14ac:dyDescent="0.25">
      <c r="A2313" s="2" t="s">
        <v>2089</v>
      </c>
      <c r="B2313" s="1">
        <v>13877</v>
      </c>
      <c r="C2313" t="s">
        <v>2059</v>
      </c>
      <c r="D2313" t="s">
        <v>2060</v>
      </c>
    </row>
    <row r="2314" spans="1:4" x14ac:dyDescent="0.25">
      <c r="A2314" s="2" t="s">
        <v>2090</v>
      </c>
      <c r="B2314" s="1">
        <v>13877</v>
      </c>
      <c r="C2314" t="s">
        <v>2091</v>
      </c>
      <c r="D2314" t="s">
        <v>2060</v>
      </c>
    </row>
    <row r="2315" spans="1:4" x14ac:dyDescent="0.25">
      <c r="A2315" s="2" t="s">
        <v>2092</v>
      </c>
      <c r="B2315" s="1">
        <v>13936</v>
      </c>
      <c r="C2315" t="s">
        <v>2091</v>
      </c>
      <c r="D2315" t="s">
        <v>2060</v>
      </c>
    </row>
    <row r="2316" spans="1:4" x14ac:dyDescent="0.25">
      <c r="A2316" s="2" t="s">
        <v>2093</v>
      </c>
      <c r="B2316" s="1">
        <v>13965</v>
      </c>
      <c r="C2316" t="s">
        <v>2091</v>
      </c>
      <c r="D2316" t="s">
        <v>2060</v>
      </c>
    </row>
    <row r="2317" spans="1:4" x14ac:dyDescent="0.25">
      <c r="A2317" s="2" t="s">
        <v>2094</v>
      </c>
      <c r="B2317" s="1">
        <v>13943</v>
      </c>
      <c r="C2317" t="s">
        <v>2091</v>
      </c>
      <c r="D2317" t="s">
        <v>2060</v>
      </c>
    </row>
    <row r="2318" spans="1:4" x14ac:dyDescent="0.25">
      <c r="A2318" s="2" t="s">
        <v>2095</v>
      </c>
      <c r="B2318" s="1">
        <v>13943</v>
      </c>
      <c r="C2318" t="s">
        <v>2091</v>
      </c>
      <c r="D2318" t="s">
        <v>2060</v>
      </c>
    </row>
    <row r="2319" spans="1:4" x14ac:dyDescent="0.25">
      <c r="A2319" s="2" t="s">
        <v>2096</v>
      </c>
      <c r="B2319" s="1">
        <v>13943</v>
      </c>
      <c r="C2319" t="s">
        <v>2091</v>
      </c>
      <c r="D2319" t="s">
        <v>2060</v>
      </c>
    </row>
    <row r="2320" spans="1:4" x14ac:dyDescent="0.25">
      <c r="A2320" s="2" t="s">
        <v>2097</v>
      </c>
      <c r="B2320" s="1">
        <v>13956</v>
      </c>
      <c r="C2320" t="s">
        <v>2091</v>
      </c>
      <c r="D2320" t="s">
        <v>2060</v>
      </c>
    </row>
    <row r="2321" spans="1:4" x14ac:dyDescent="0.25">
      <c r="A2321" s="2" t="s">
        <v>2098</v>
      </c>
      <c r="B2321" s="1">
        <v>14036</v>
      </c>
      <c r="C2321" t="s">
        <v>2091</v>
      </c>
      <c r="D2321" t="s">
        <v>2060</v>
      </c>
    </row>
    <row r="2322" spans="1:4" x14ac:dyDescent="0.25">
      <c r="A2322" s="2" t="s">
        <v>2099</v>
      </c>
      <c r="B2322" s="1">
        <v>14074</v>
      </c>
      <c r="C2322" t="s">
        <v>2091</v>
      </c>
      <c r="D2322" t="s">
        <v>2060</v>
      </c>
    </row>
    <row r="2323" spans="1:4" x14ac:dyDescent="0.25">
      <c r="A2323" s="2" t="s">
        <v>2100</v>
      </c>
      <c r="B2323" s="1">
        <v>14074</v>
      </c>
      <c r="C2323" t="s">
        <v>2091</v>
      </c>
      <c r="D2323" t="s">
        <v>2060</v>
      </c>
    </row>
    <row r="2324" spans="1:4" x14ac:dyDescent="0.25">
      <c r="A2324" s="2" t="s">
        <v>2101</v>
      </c>
      <c r="B2324" s="1">
        <v>14048</v>
      </c>
      <c r="C2324" t="s">
        <v>2091</v>
      </c>
      <c r="D2324" t="s">
        <v>2060</v>
      </c>
    </row>
    <row r="2325" spans="1:4" x14ac:dyDescent="0.25">
      <c r="A2325" s="2" t="s">
        <v>2102</v>
      </c>
      <c r="B2325" s="1">
        <v>14048</v>
      </c>
      <c r="C2325" t="s">
        <v>2091</v>
      </c>
      <c r="D2325" t="s">
        <v>2060</v>
      </c>
    </row>
    <row r="2326" spans="1:4" x14ac:dyDescent="0.25">
      <c r="A2326" s="2" t="s">
        <v>2103</v>
      </c>
      <c r="B2326" s="1">
        <v>14048</v>
      </c>
      <c r="C2326" t="s">
        <v>2091</v>
      </c>
      <c r="D2326" t="s">
        <v>2060</v>
      </c>
    </row>
    <row r="2327" spans="1:4" x14ac:dyDescent="0.25">
      <c r="A2327" s="2" t="s">
        <v>2104</v>
      </c>
      <c r="B2327" s="1">
        <v>13976</v>
      </c>
      <c r="C2327" t="s">
        <v>2091</v>
      </c>
      <c r="D2327" t="s">
        <v>2060</v>
      </c>
    </row>
    <row r="2328" spans="1:4" x14ac:dyDescent="0.25">
      <c r="A2328" s="2" t="s">
        <v>2105</v>
      </c>
      <c r="B2328" s="1">
        <v>14020</v>
      </c>
      <c r="C2328" t="s">
        <v>2091</v>
      </c>
      <c r="D2328" t="s">
        <v>2060</v>
      </c>
    </row>
    <row r="2329" spans="1:4" x14ac:dyDescent="0.25">
      <c r="A2329" s="2" t="s">
        <v>2106</v>
      </c>
      <c r="B2329" s="1">
        <v>14094</v>
      </c>
      <c r="C2329" t="s">
        <v>2091</v>
      </c>
      <c r="D2329" t="s">
        <v>2060</v>
      </c>
    </row>
    <row r="2330" spans="1:4" x14ac:dyDescent="0.25">
      <c r="A2330" s="2" t="s">
        <v>2107</v>
      </c>
      <c r="B2330" s="1">
        <v>14074</v>
      </c>
      <c r="C2330" t="s">
        <v>2091</v>
      </c>
      <c r="D2330" t="s">
        <v>2060</v>
      </c>
    </row>
    <row r="2331" spans="1:4" x14ac:dyDescent="0.25">
      <c r="A2331" s="2" t="s">
        <v>2108</v>
      </c>
      <c r="B2331" s="1">
        <v>14107</v>
      </c>
      <c r="C2331" t="s">
        <v>2091</v>
      </c>
      <c r="D2331" t="s">
        <v>2060</v>
      </c>
    </row>
    <row r="2332" spans="1:4" x14ac:dyDescent="0.25">
      <c r="A2332" s="2" t="s">
        <v>2109</v>
      </c>
      <c r="B2332" s="1">
        <v>14107</v>
      </c>
      <c r="C2332" t="s">
        <v>2091</v>
      </c>
      <c r="D2332" t="s">
        <v>2060</v>
      </c>
    </row>
    <row r="2333" spans="1:4" x14ac:dyDescent="0.25">
      <c r="A2333" s="2" t="s">
        <v>2110</v>
      </c>
      <c r="B2333" s="1">
        <v>14107</v>
      </c>
      <c r="C2333" t="s">
        <v>2091</v>
      </c>
      <c r="D2333" t="s">
        <v>2060</v>
      </c>
    </row>
    <row r="2334" spans="1:4" x14ac:dyDescent="0.25">
      <c r="A2334" s="2" t="s">
        <v>2111</v>
      </c>
      <c r="B2334" s="1">
        <v>14176</v>
      </c>
      <c r="C2334" t="s">
        <v>2091</v>
      </c>
      <c r="D2334" t="s">
        <v>2060</v>
      </c>
    </row>
    <row r="2335" spans="1:4" x14ac:dyDescent="0.25">
      <c r="A2335" s="2" t="s">
        <v>2112</v>
      </c>
      <c r="B2335" s="1">
        <v>14178</v>
      </c>
      <c r="C2335" t="s">
        <v>2091</v>
      </c>
      <c r="D2335" t="s">
        <v>2060</v>
      </c>
    </row>
    <row r="2336" spans="1:4" x14ac:dyDescent="0.25">
      <c r="A2336" s="2" t="s">
        <v>2113</v>
      </c>
      <c r="B2336" s="1">
        <v>14192</v>
      </c>
      <c r="C2336" t="s">
        <v>2091</v>
      </c>
      <c r="D2336" t="s">
        <v>2060</v>
      </c>
    </row>
    <row r="2337" spans="1:4" x14ac:dyDescent="0.25">
      <c r="A2337" s="2" t="s">
        <v>2114</v>
      </c>
      <c r="B2337" s="1">
        <v>14205</v>
      </c>
      <c r="C2337" t="s">
        <v>2091</v>
      </c>
      <c r="D2337" t="s">
        <v>2060</v>
      </c>
    </row>
    <row r="2338" spans="1:4" x14ac:dyDescent="0.25">
      <c r="A2338" s="2" t="s">
        <v>2115</v>
      </c>
      <c r="B2338" s="1">
        <v>14166</v>
      </c>
      <c r="C2338" t="s">
        <v>2091</v>
      </c>
      <c r="D2338" t="s">
        <v>2060</v>
      </c>
    </row>
    <row r="2339" spans="1:4" x14ac:dyDescent="0.25">
      <c r="A2339" s="2" t="s">
        <v>2116</v>
      </c>
      <c r="B2339" s="1">
        <v>14166</v>
      </c>
      <c r="C2339" t="s">
        <v>2091</v>
      </c>
      <c r="D2339" t="s">
        <v>2060</v>
      </c>
    </row>
    <row r="2340" spans="1:4" x14ac:dyDescent="0.25">
      <c r="A2340" s="2" t="s">
        <v>2117</v>
      </c>
      <c r="B2340" s="1">
        <v>14166</v>
      </c>
      <c r="C2340" t="s">
        <v>2091</v>
      </c>
      <c r="D2340" t="s">
        <v>2060</v>
      </c>
    </row>
    <row r="2341" spans="1:4" x14ac:dyDescent="0.25">
      <c r="A2341" s="2" t="s">
        <v>2118</v>
      </c>
      <c r="B2341" s="1">
        <v>14065</v>
      </c>
      <c r="C2341" t="s">
        <v>2091</v>
      </c>
      <c r="D2341" t="s">
        <v>2060</v>
      </c>
    </row>
    <row r="2342" spans="1:4" x14ac:dyDescent="0.25">
      <c r="A2342" s="2" t="s">
        <v>2119</v>
      </c>
      <c r="B2342" s="1">
        <v>14065</v>
      </c>
      <c r="C2342" t="s">
        <v>2091</v>
      </c>
      <c r="D2342" t="s">
        <v>2060</v>
      </c>
    </row>
    <row r="2343" spans="1:4" x14ac:dyDescent="0.25">
      <c r="A2343" s="2" t="s">
        <v>2120</v>
      </c>
      <c r="B2343" s="1">
        <v>14032</v>
      </c>
      <c r="C2343" t="s">
        <v>2091</v>
      </c>
      <c r="D2343" t="s">
        <v>2060</v>
      </c>
    </row>
    <row r="2344" spans="1:4" x14ac:dyDescent="0.25">
      <c r="A2344" s="2" t="s">
        <v>2121</v>
      </c>
      <c r="B2344" s="1">
        <v>13951</v>
      </c>
      <c r="C2344" t="s">
        <v>2091</v>
      </c>
      <c r="D2344" t="s">
        <v>2060</v>
      </c>
    </row>
    <row r="2345" spans="1:4" x14ac:dyDescent="0.25">
      <c r="A2345" s="2" t="s">
        <v>2122</v>
      </c>
      <c r="B2345" s="1">
        <v>13951</v>
      </c>
      <c r="C2345" t="s">
        <v>2123</v>
      </c>
      <c r="D2345" t="s">
        <v>2060</v>
      </c>
    </row>
    <row r="2346" spans="1:4" x14ac:dyDescent="0.25">
      <c r="A2346" s="2" t="s">
        <v>2124</v>
      </c>
      <c r="B2346" s="1">
        <v>13951</v>
      </c>
      <c r="C2346" t="s">
        <v>2123</v>
      </c>
      <c r="D2346" t="s">
        <v>2060</v>
      </c>
    </row>
    <row r="2347" spans="1:4" x14ac:dyDescent="0.25">
      <c r="A2347" s="2" t="s">
        <v>2125</v>
      </c>
      <c r="B2347" s="1">
        <v>13951</v>
      </c>
      <c r="C2347" t="s">
        <v>2123</v>
      </c>
      <c r="D2347" t="s">
        <v>2060</v>
      </c>
    </row>
    <row r="2348" spans="1:4" x14ac:dyDescent="0.25">
      <c r="A2348" s="2" t="s">
        <v>2126</v>
      </c>
      <c r="B2348" s="1">
        <v>13872</v>
      </c>
      <c r="C2348" t="s">
        <v>2123</v>
      </c>
      <c r="D2348" t="s">
        <v>2060</v>
      </c>
    </row>
    <row r="2349" spans="1:4" x14ac:dyDescent="0.25">
      <c r="A2349" s="2" t="s">
        <v>2127</v>
      </c>
      <c r="B2349" s="1">
        <v>13887</v>
      </c>
      <c r="C2349" t="s">
        <v>2123</v>
      </c>
      <c r="D2349" t="s">
        <v>2060</v>
      </c>
    </row>
    <row r="2350" spans="1:4" x14ac:dyDescent="0.25">
      <c r="A2350" s="2" t="s">
        <v>2128</v>
      </c>
      <c r="B2350" s="1">
        <v>13875</v>
      </c>
      <c r="C2350" t="s">
        <v>2123</v>
      </c>
      <c r="D2350" t="s">
        <v>2060</v>
      </c>
    </row>
    <row r="2351" spans="1:4" x14ac:dyDescent="0.25">
      <c r="A2351" s="2" t="s">
        <v>2129</v>
      </c>
      <c r="B2351" s="1">
        <v>13868</v>
      </c>
      <c r="C2351" t="s">
        <v>2123</v>
      </c>
      <c r="D2351" t="s">
        <v>2060</v>
      </c>
    </row>
    <row r="2352" spans="1:4" x14ac:dyDescent="0.25">
      <c r="A2352" s="2" t="s">
        <v>2130</v>
      </c>
      <c r="B2352" s="1">
        <v>13902</v>
      </c>
      <c r="C2352" t="s">
        <v>2123</v>
      </c>
      <c r="D2352" t="s">
        <v>2060</v>
      </c>
    </row>
    <row r="2353" spans="1:4" x14ac:dyDescent="0.25">
      <c r="A2353" s="2" t="s">
        <v>2131</v>
      </c>
      <c r="B2353" s="1">
        <v>13902</v>
      </c>
      <c r="C2353" t="s">
        <v>2123</v>
      </c>
      <c r="D2353" t="s">
        <v>2060</v>
      </c>
    </row>
    <row r="2354" spans="1:4" x14ac:dyDescent="0.25">
      <c r="A2354" s="2" t="s">
        <v>2132</v>
      </c>
      <c r="B2354" s="1">
        <v>13902</v>
      </c>
      <c r="C2354" t="s">
        <v>2123</v>
      </c>
      <c r="D2354" t="s">
        <v>2060</v>
      </c>
    </row>
    <row r="2355" spans="1:4" x14ac:dyDescent="0.25">
      <c r="A2355" s="2" t="s">
        <v>2133</v>
      </c>
      <c r="B2355" s="1">
        <v>13902</v>
      </c>
      <c r="C2355" t="s">
        <v>2123</v>
      </c>
      <c r="D2355" t="s">
        <v>2060</v>
      </c>
    </row>
    <row r="2356" spans="1:4" x14ac:dyDescent="0.25">
      <c r="A2356" s="2" t="s">
        <v>2134</v>
      </c>
      <c r="B2356" s="1">
        <v>13902</v>
      </c>
      <c r="C2356" t="s">
        <v>2123</v>
      </c>
      <c r="D2356" t="s">
        <v>2060</v>
      </c>
    </row>
    <row r="2357" spans="1:4" x14ac:dyDescent="0.25">
      <c r="A2357" s="2" t="s">
        <v>2135</v>
      </c>
      <c r="B2357" s="1">
        <v>13902</v>
      </c>
      <c r="C2357" t="s">
        <v>2123</v>
      </c>
      <c r="D2357" t="s">
        <v>2060</v>
      </c>
    </row>
    <row r="2358" spans="1:4" x14ac:dyDescent="0.25">
      <c r="A2358" s="2" t="s">
        <v>2136</v>
      </c>
      <c r="B2358" s="1">
        <v>13902</v>
      </c>
      <c r="C2358" t="s">
        <v>2123</v>
      </c>
      <c r="D2358" t="s">
        <v>2060</v>
      </c>
    </row>
    <row r="2359" spans="1:4" x14ac:dyDescent="0.25">
      <c r="A2359" s="2" t="s">
        <v>2137</v>
      </c>
      <c r="B2359" s="1">
        <v>13902</v>
      </c>
      <c r="C2359" t="s">
        <v>2123</v>
      </c>
      <c r="D2359" t="s">
        <v>2060</v>
      </c>
    </row>
    <row r="2360" spans="1:4" x14ac:dyDescent="0.25">
      <c r="A2360" s="2" t="s">
        <v>2138</v>
      </c>
      <c r="B2360" s="1">
        <v>13902</v>
      </c>
      <c r="C2360" t="s">
        <v>2123</v>
      </c>
      <c r="D2360" t="s">
        <v>2060</v>
      </c>
    </row>
    <row r="2361" spans="1:4" x14ac:dyDescent="0.25">
      <c r="A2361" s="2" t="s">
        <v>2139</v>
      </c>
      <c r="B2361" s="1">
        <v>13902</v>
      </c>
      <c r="C2361" t="s">
        <v>2123</v>
      </c>
      <c r="D2361" t="s">
        <v>2060</v>
      </c>
    </row>
    <row r="2362" spans="1:4" x14ac:dyDescent="0.25">
      <c r="A2362" s="2" t="s">
        <v>2140</v>
      </c>
      <c r="B2362" s="1">
        <v>13902</v>
      </c>
      <c r="C2362" t="s">
        <v>2123</v>
      </c>
      <c r="D2362" t="s">
        <v>2060</v>
      </c>
    </row>
    <row r="2363" spans="1:4" x14ac:dyDescent="0.25">
      <c r="A2363" s="2" t="s">
        <v>2141</v>
      </c>
      <c r="B2363" s="1">
        <v>13902</v>
      </c>
      <c r="C2363" t="s">
        <v>2123</v>
      </c>
      <c r="D2363" t="s">
        <v>2060</v>
      </c>
    </row>
    <row r="2364" spans="1:4" x14ac:dyDescent="0.25">
      <c r="A2364" s="2" t="s">
        <v>2142</v>
      </c>
      <c r="B2364" s="1">
        <v>13902</v>
      </c>
      <c r="C2364" t="s">
        <v>2123</v>
      </c>
      <c r="D2364" t="s">
        <v>2060</v>
      </c>
    </row>
    <row r="2365" spans="1:4" x14ac:dyDescent="0.25">
      <c r="A2365" s="2" t="s">
        <v>2143</v>
      </c>
      <c r="B2365" s="1">
        <v>14090</v>
      </c>
      <c r="C2365" t="s">
        <v>2123</v>
      </c>
      <c r="D2365" t="s">
        <v>2060</v>
      </c>
    </row>
    <row r="2366" spans="1:4" x14ac:dyDescent="0.25">
      <c r="A2366" s="2" t="s">
        <v>2144</v>
      </c>
      <c r="B2366" s="1">
        <v>14102</v>
      </c>
      <c r="C2366" t="s">
        <v>2123</v>
      </c>
      <c r="D2366" t="s">
        <v>2060</v>
      </c>
    </row>
    <row r="2367" spans="1:4" x14ac:dyDescent="0.25">
      <c r="A2367" s="2" t="s">
        <v>2145</v>
      </c>
      <c r="B2367" s="1">
        <v>14102</v>
      </c>
      <c r="C2367" t="s">
        <v>2123</v>
      </c>
      <c r="D2367" t="s">
        <v>2060</v>
      </c>
    </row>
    <row r="2368" spans="1:4" x14ac:dyDescent="0.25">
      <c r="A2368" s="2" t="s">
        <v>2146</v>
      </c>
      <c r="B2368" s="1">
        <v>14102</v>
      </c>
      <c r="C2368" t="s">
        <v>2123</v>
      </c>
      <c r="D2368" t="s">
        <v>2060</v>
      </c>
    </row>
    <row r="2369" spans="1:4" x14ac:dyDescent="0.25">
      <c r="A2369" s="2" t="s">
        <v>2147</v>
      </c>
      <c r="B2369" s="1">
        <v>14105</v>
      </c>
      <c r="C2369" t="s">
        <v>2123</v>
      </c>
      <c r="D2369" t="s">
        <v>2060</v>
      </c>
    </row>
    <row r="2370" spans="1:4" x14ac:dyDescent="0.25">
      <c r="A2370" s="2" t="s">
        <v>2148</v>
      </c>
      <c r="B2370" s="1">
        <v>14163</v>
      </c>
      <c r="C2370" t="s">
        <v>2123</v>
      </c>
      <c r="D2370" t="s">
        <v>2060</v>
      </c>
    </row>
    <row r="2371" spans="1:4" x14ac:dyDescent="0.25">
      <c r="A2371" s="2" t="s">
        <v>2149</v>
      </c>
      <c r="B2371" s="1">
        <v>14163</v>
      </c>
      <c r="C2371" t="s">
        <v>2123</v>
      </c>
      <c r="D2371" t="s">
        <v>2060</v>
      </c>
    </row>
    <row r="2372" spans="1:4" x14ac:dyDescent="0.25">
      <c r="A2372" s="2" t="s">
        <v>2150</v>
      </c>
      <c r="B2372" s="1">
        <v>14271</v>
      </c>
      <c r="C2372" t="s">
        <v>2123</v>
      </c>
      <c r="D2372" t="s">
        <v>2060</v>
      </c>
    </row>
    <row r="2373" spans="1:4" x14ac:dyDescent="0.25">
      <c r="A2373" s="2" t="s">
        <v>2151</v>
      </c>
      <c r="B2373" s="1">
        <v>14404</v>
      </c>
      <c r="C2373" t="s">
        <v>2123</v>
      </c>
      <c r="D2373" t="s">
        <v>2060</v>
      </c>
    </row>
    <row r="2374" spans="1:4" x14ac:dyDescent="0.25">
      <c r="A2374" s="2" t="s">
        <v>2152</v>
      </c>
      <c r="B2374" s="1">
        <v>14404</v>
      </c>
      <c r="C2374" t="s">
        <v>2123</v>
      </c>
      <c r="D2374" t="s">
        <v>2060</v>
      </c>
    </row>
    <row r="2375" spans="1:4" x14ac:dyDescent="0.25">
      <c r="A2375" s="2" t="s">
        <v>2153</v>
      </c>
      <c r="B2375" s="1">
        <v>14404</v>
      </c>
      <c r="C2375" t="s">
        <v>2154</v>
      </c>
      <c r="D2375" t="s">
        <v>2155</v>
      </c>
    </row>
    <row r="2376" spans="1:4" x14ac:dyDescent="0.25">
      <c r="A2376" s="2" t="s">
        <v>2156</v>
      </c>
      <c r="B2376" s="1">
        <v>14331</v>
      </c>
      <c r="C2376" t="s">
        <v>2154</v>
      </c>
      <c r="D2376" t="s">
        <v>2155</v>
      </c>
    </row>
    <row r="2377" spans="1:4" x14ac:dyDescent="0.25">
      <c r="A2377" s="2" t="s">
        <v>2157</v>
      </c>
      <c r="B2377" s="1">
        <v>14418</v>
      </c>
      <c r="C2377" t="s">
        <v>2154</v>
      </c>
      <c r="D2377" t="s">
        <v>2155</v>
      </c>
    </row>
    <row r="2378" spans="1:4" x14ac:dyDescent="0.25">
      <c r="A2378" s="2" t="s">
        <v>2158</v>
      </c>
      <c r="B2378" s="1">
        <v>14343</v>
      </c>
      <c r="C2378" t="s">
        <v>2154</v>
      </c>
      <c r="D2378" t="s">
        <v>2155</v>
      </c>
    </row>
    <row r="2379" spans="1:4" x14ac:dyDescent="0.25">
      <c r="A2379" s="2" t="s">
        <v>2159</v>
      </c>
      <c r="B2379" s="1">
        <v>14387</v>
      </c>
      <c r="C2379" t="s">
        <v>2154</v>
      </c>
      <c r="D2379" t="s">
        <v>2155</v>
      </c>
    </row>
    <row r="2380" spans="1:4" x14ac:dyDescent="0.25">
      <c r="A2380" s="2" t="s">
        <v>2160</v>
      </c>
      <c r="B2380" s="1">
        <v>14409</v>
      </c>
      <c r="C2380" t="s">
        <v>2154</v>
      </c>
      <c r="D2380" t="s">
        <v>2155</v>
      </c>
    </row>
    <row r="2381" spans="1:4" x14ac:dyDescent="0.25">
      <c r="A2381" s="2" t="s">
        <v>2161</v>
      </c>
      <c r="B2381" s="1">
        <v>14409</v>
      </c>
      <c r="C2381" t="s">
        <v>2154</v>
      </c>
      <c r="D2381" t="s">
        <v>2155</v>
      </c>
    </row>
    <row r="2382" spans="1:4" x14ac:dyDescent="0.25">
      <c r="A2382" s="2" t="s">
        <v>2162</v>
      </c>
      <c r="B2382" s="1">
        <v>14409</v>
      </c>
      <c r="C2382" t="s">
        <v>2154</v>
      </c>
      <c r="D2382" t="s">
        <v>2155</v>
      </c>
    </row>
    <row r="2383" spans="1:4" x14ac:dyDescent="0.25">
      <c r="A2383" s="2" t="s">
        <v>2163</v>
      </c>
      <c r="B2383" s="1">
        <v>14332</v>
      </c>
      <c r="C2383" t="s">
        <v>2154</v>
      </c>
      <c r="D2383" t="s">
        <v>2155</v>
      </c>
    </row>
    <row r="2384" spans="1:4" x14ac:dyDescent="0.25">
      <c r="A2384" s="2" t="s">
        <v>2164</v>
      </c>
      <c r="B2384" s="1">
        <v>14326</v>
      </c>
      <c r="C2384" t="s">
        <v>2154</v>
      </c>
      <c r="D2384" t="s">
        <v>2155</v>
      </c>
    </row>
    <row r="2385" spans="1:4" x14ac:dyDescent="0.25">
      <c r="A2385" s="2" t="s">
        <v>2165</v>
      </c>
      <c r="B2385" s="1">
        <v>14391</v>
      </c>
      <c r="C2385" t="s">
        <v>2154</v>
      </c>
      <c r="D2385" t="s">
        <v>2155</v>
      </c>
    </row>
    <row r="2386" spans="1:4" x14ac:dyDescent="0.25">
      <c r="A2386" s="2" t="s">
        <v>2166</v>
      </c>
      <c r="B2386" s="1">
        <v>14435</v>
      </c>
      <c r="C2386" t="s">
        <v>2154</v>
      </c>
      <c r="D2386" t="s">
        <v>2155</v>
      </c>
    </row>
    <row r="2387" spans="1:4" x14ac:dyDescent="0.25">
      <c r="A2387" s="2" t="s">
        <v>2167</v>
      </c>
      <c r="B2387" s="1">
        <v>14358</v>
      </c>
      <c r="C2387" t="s">
        <v>2154</v>
      </c>
      <c r="D2387" t="s">
        <v>2155</v>
      </c>
    </row>
    <row r="2388" spans="1:4" x14ac:dyDescent="0.25">
      <c r="A2388" s="2" t="s">
        <v>2168</v>
      </c>
      <c r="B2388" s="1">
        <v>14358</v>
      </c>
      <c r="C2388" t="s">
        <v>2154</v>
      </c>
      <c r="D2388" t="s">
        <v>2155</v>
      </c>
    </row>
    <row r="2389" spans="1:4" x14ac:dyDescent="0.25">
      <c r="A2389" s="2" t="s">
        <v>2169</v>
      </c>
      <c r="B2389" s="1">
        <v>14358</v>
      </c>
      <c r="C2389" t="s">
        <v>2154</v>
      </c>
      <c r="D2389" t="s">
        <v>2155</v>
      </c>
    </row>
    <row r="2390" spans="1:4" x14ac:dyDescent="0.25">
      <c r="A2390" s="2" t="s">
        <v>2170</v>
      </c>
      <c r="B2390" s="1">
        <v>14396</v>
      </c>
      <c r="C2390" t="s">
        <v>2154</v>
      </c>
      <c r="D2390" t="s">
        <v>2155</v>
      </c>
    </row>
    <row r="2391" spans="1:4" x14ac:dyDescent="0.25">
      <c r="A2391" s="2" t="s">
        <v>2171</v>
      </c>
      <c r="B2391" s="1">
        <v>14391</v>
      </c>
      <c r="C2391" t="s">
        <v>2154</v>
      </c>
      <c r="D2391" t="s">
        <v>2155</v>
      </c>
    </row>
    <row r="2392" spans="1:4" x14ac:dyDescent="0.25">
      <c r="A2392" s="2" t="s">
        <v>2172</v>
      </c>
      <c r="B2392" s="1">
        <v>14406</v>
      </c>
      <c r="C2392" t="s">
        <v>2154</v>
      </c>
      <c r="D2392" t="s">
        <v>2155</v>
      </c>
    </row>
    <row r="2393" spans="1:4" x14ac:dyDescent="0.25">
      <c r="A2393" s="2" t="s">
        <v>2173</v>
      </c>
      <c r="B2393" s="1">
        <v>14418</v>
      </c>
      <c r="C2393" t="s">
        <v>2154</v>
      </c>
      <c r="D2393" t="s">
        <v>2155</v>
      </c>
    </row>
    <row r="2394" spans="1:4" x14ac:dyDescent="0.25">
      <c r="A2394" s="2" t="s">
        <v>2174</v>
      </c>
      <c r="B2394" s="1">
        <v>14520</v>
      </c>
      <c r="C2394" t="s">
        <v>2154</v>
      </c>
      <c r="D2394" t="s">
        <v>2155</v>
      </c>
    </row>
    <row r="2395" spans="1:4" x14ac:dyDescent="0.25">
      <c r="A2395" s="2" t="s">
        <v>2175</v>
      </c>
      <c r="B2395" s="1">
        <v>14520</v>
      </c>
      <c r="C2395" t="s">
        <v>2154</v>
      </c>
      <c r="D2395" t="s">
        <v>2155</v>
      </c>
    </row>
    <row r="2396" spans="1:4" x14ac:dyDescent="0.25">
      <c r="A2396" s="2" t="s">
        <v>2176</v>
      </c>
      <c r="B2396" s="1">
        <v>14520</v>
      </c>
      <c r="C2396" t="s">
        <v>2154</v>
      </c>
      <c r="D2396" t="s">
        <v>2155</v>
      </c>
    </row>
    <row r="2397" spans="1:4" x14ac:dyDescent="0.25">
      <c r="A2397" s="2" t="s">
        <v>2177</v>
      </c>
      <c r="B2397" s="1">
        <v>14454</v>
      </c>
      <c r="C2397" t="s">
        <v>2154</v>
      </c>
      <c r="D2397" t="s">
        <v>2155</v>
      </c>
    </row>
    <row r="2398" spans="1:4" x14ac:dyDescent="0.25">
      <c r="A2398" s="2" t="s">
        <v>2178</v>
      </c>
      <c r="B2398" s="1">
        <v>14541</v>
      </c>
      <c r="C2398" t="s">
        <v>2154</v>
      </c>
      <c r="D2398" t="s">
        <v>2155</v>
      </c>
    </row>
    <row r="2399" spans="1:4" x14ac:dyDescent="0.25">
      <c r="A2399" s="2" t="s">
        <v>2179</v>
      </c>
      <c r="B2399" s="1">
        <v>14515</v>
      </c>
      <c r="C2399" t="s">
        <v>2154</v>
      </c>
      <c r="D2399" t="s">
        <v>2155</v>
      </c>
    </row>
    <row r="2400" spans="1:4" x14ac:dyDescent="0.25">
      <c r="A2400" s="2" t="s">
        <v>2180</v>
      </c>
      <c r="B2400" s="1">
        <v>14443</v>
      </c>
      <c r="C2400" t="s">
        <v>2154</v>
      </c>
      <c r="D2400" t="s">
        <v>2155</v>
      </c>
    </row>
    <row r="2401" spans="1:4" x14ac:dyDescent="0.25">
      <c r="A2401" s="2" t="s">
        <v>2181</v>
      </c>
      <c r="B2401" s="1">
        <v>14483</v>
      </c>
      <c r="C2401" t="s">
        <v>2154</v>
      </c>
      <c r="D2401" t="s">
        <v>2155</v>
      </c>
    </row>
    <row r="2402" spans="1:4" x14ac:dyDescent="0.25">
      <c r="A2402" s="2" t="s">
        <v>2182</v>
      </c>
      <c r="B2402" s="1">
        <v>14483</v>
      </c>
      <c r="C2402" t="s">
        <v>2154</v>
      </c>
      <c r="D2402" t="s">
        <v>2155</v>
      </c>
    </row>
    <row r="2403" spans="1:4" x14ac:dyDescent="0.25">
      <c r="A2403" s="2" t="s">
        <v>2183</v>
      </c>
      <c r="B2403" s="1">
        <v>14483</v>
      </c>
      <c r="C2403" t="s">
        <v>2154</v>
      </c>
      <c r="D2403" t="s">
        <v>2155</v>
      </c>
    </row>
    <row r="2404" spans="1:4" x14ac:dyDescent="0.25">
      <c r="A2404" s="2" t="s">
        <v>2184</v>
      </c>
      <c r="B2404" s="1">
        <v>14409</v>
      </c>
      <c r="C2404" t="s">
        <v>2154</v>
      </c>
      <c r="D2404" t="s">
        <v>2155</v>
      </c>
    </row>
    <row r="2405" spans="1:4" x14ac:dyDescent="0.25">
      <c r="A2405" s="2" t="s">
        <v>2185</v>
      </c>
      <c r="B2405" s="1">
        <v>14413</v>
      </c>
      <c r="C2405" t="s">
        <v>2154</v>
      </c>
      <c r="D2405" t="s">
        <v>2155</v>
      </c>
    </row>
    <row r="2406" spans="1:4" x14ac:dyDescent="0.25">
      <c r="A2406" s="2" t="s">
        <v>2186</v>
      </c>
      <c r="B2406" s="1">
        <v>14442</v>
      </c>
      <c r="C2406" t="s">
        <v>2187</v>
      </c>
      <c r="D2406" t="s">
        <v>2155</v>
      </c>
    </row>
    <row r="2407" spans="1:4" x14ac:dyDescent="0.25">
      <c r="A2407" s="2" t="s">
        <v>2188</v>
      </c>
      <c r="B2407" s="1">
        <v>14446</v>
      </c>
      <c r="C2407" t="s">
        <v>2187</v>
      </c>
      <c r="D2407" t="s">
        <v>2155</v>
      </c>
    </row>
    <row r="2408" spans="1:4" x14ac:dyDescent="0.25">
      <c r="A2408" s="2" t="s">
        <v>2189</v>
      </c>
      <c r="B2408" s="1">
        <v>14503</v>
      </c>
      <c r="C2408" t="s">
        <v>2187</v>
      </c>
      <c r="D2408" t="s">
        <v>2155</v>
      </c>
    </row>
    <row r="2409" spans="1:4" x14ac:dyDescent="0.25">
      <c r="A2409" s="2" t="s">
        <v>2190</v>
      </c>
      <c r="B2409" s="1">
        <v>14503</v>
      </c>
      <c r="C2409" t="s">
        <v>2187</v>
      </c>
      <c r="D2409" t="s">
        <v>2155</v>
      </c>
    </row>
    <row r="2410" spans="1:4" x14ac:dyDescent="0.25">
      <c r="A2410" s="2" t="s">
        <v>2191</v>
      </c>
      <c r="B2410" s="1">
        <v>14503</v>
      </c>
      <c r="C2410" t="s">
        <v>2187</v>
      </c>
      <c r="D2410" t="s">
        <v>2155</v>
      </c>
    </row>
    <row r="2411" spans="1:4" x14ac:dyDescent="0.25">
      <c r="A2411" s="2" t="s">
        <v>2192</v>
      </c>
      <c r="B2411" s="1">
        <v>14481</v>
      </c>
      <c r="C2411" t="s">
        <v>2187</v>
      </c>
      <c r="D2411" t="s">
        <v>2155</v>
      </c>
    </row>
    <row r="2412" spans="1:4" x14ac:dyDescent="0.25">
      <c r="A2412" s="2" t="s">
        <v>2193</v>
      </c>
      <c r="B2412" s="1">
        <v>14485</v>
      </c>
      <c r="C2412" t="s">
        <v>2187</v>
      </c>
      <c r="D2412" t="s">
        <v>2155</v>
      </c>
    </row>
    <row r="2413" spans="1:4" x14ac:dyDescent="0.25">
      <c r="A2413" s="2" t="s">
        <v>2194</v>
      </c>
      <c r="B2413" s="1">
        <v>14439</v>
      </c>
      <c r="C2413" t="s">
        <v>2187</v>
      </c>
      <c r="D2413" t="s">
        <v>2155</v>
      </c>
    </row>
    <row r="2414" spans="1:4" x14ac:dyDescent="0.25">
      <c r="A2414" s="2" t="s">
        <v>2195</v>
      </c>
      <c r="B2414" s="1">
        <v>14422</v>
      </c>
      <c r="C2414" t="s">
        <v>2187</v>
      </c>
      <c r="D2414" t="s">
        <v>2155</v>
      </c>
    </row>
    <row r="2415" spans="1:4" x14ac:dyDescent="0.25">
      <c r="A2415" s="2" t="s">
        <v>2196</v>
      </c>
      <c r="B2415" s="1">
        <v>14437</v>
      </c>
      <c r="C2415" t="s">
        <v>2187</v>
      </c>
      <c r="D2415" t="s">
        <v>2155</v>
      </c>
    </row>
    <row r="2416" spans="1:4" x14ac:dyDescent="0.25">
      <c r="A2416" s="2" t="s">
        <v>2197</v>
      </c>
      <c r="B2416" s="1">
        <v>14437</v>
      </c>
      <c r="C2416" t="s">
        <v>2187</v>
      </c>
      <c r="D2416" t="s">
        <v>2155</v>
      </c>
    </row>
    <row r="2417" spans="1:4" x14ac:dyDescent="0.25">
      <c r="A2417" s="2" t="s">
        <v>2198</v>
      </c>
      <c r="B2417" s="1">
        <v>14437</v>
      </c>
      <c r="C2417" t="s">
        <v>2187</v>
      </c>
      <c r="D2417" t="s">
        <v>2155</v>
      </c>
    </row>
    <row r="2418" spans="1:4" x14ac:dyDescent="0.25">
      <c r="A2418" s="2" t="s">
        <v>2199</v>
      </c>
      <c r="B2418" s="1">
        <v>14583</v>
      </c>
      <c r="C2418" t="s">
        <v>2187</v>
      </c>
      <c r="D2418" t="s">
        <v>2155</v>
      </c>
    </row>
    <row r="2419" spans="1:4" x14ac:dyDescent="0.25">
      <c r="A2419" s="2" t="s">
        <v>2200</v>
      </c>
      <c r="B2419" s="1">
        <v>14625</v>
      </c>
      <c r="C2419" t="s">
        <v>2187</v>
      </c>
      <c r="D2419" t="s">
        <v>2155</v>
      </c>
    </row>
    <row r="2420" spans="1:4" x14ac:dyDescent="0.25">
      <c r="A2420" s="2" t="s">
        <v>2201</v>
      </c>
      <c r="B2420" s="1">
        <v>14621</v>
      </c>
      <c r="C2420" t="s">
        <v>2187</v>
      </c>
      <c r="D2420" t="s">
        <v>2155</v>
      </c>
    </row>
    <row r="2421" spans="1:4" x14ac:dyDescent="0.25">
      <c r="A2421" s="2" t="s">
        <v>2202</v>
      </c>
      <c r="B2421" s="1">
        <v>14619</v>
      </c>
      <c r="C2421" t="s">
        <v>2187</v>
      </c>
      <c r="D2421" t="s">
        <v>2155</v>
      </c>
    </row>
    <row r="2422" spans="1:4" x14ac:dyDescent="0.25">
      <c r="A2422" s="2" t="s">
        <v>2203</v>
      </c>
      <c r="B2422" s="1">
        <v>14619</v>
      </c>
      <c r="C2422" t="s">
        <v>2187</v>
      </c>
      <c r="D2422" t="s">
        <v>2155</v>
      </c>
    </row>
    <row r="2423" spans="1:4" x14ac:dyDescent="0.25">
      <c r="A2423" s="2" t="s">
        <v>2204</v>
      </c>
      <c r="B2423" s="1">
        <v>14619</v>
      </c>
      <c r="C2423" t="s">
        <v>2187</v>
      </c>
      <c r="D2423" t="s">
        <v>2155</v>
      </c>
    </row>
    <row r="2424" spans="1:4" x14ac:dyDescent="0.25">
      <c r="A2424" s="2" t="s">
        <v>2205</v>
      </c>
      <c r="B2424" s="1">
        <v>14619</v>
      </c>
      <c r="C2424" t="s">
        <v>2187</v>
      </c>
      <c r="D2424" t="s">
        <v>2155</v>
      </c>
    </row>
    <row r="2425" spans="1:4" x14ac:dyDescent="0.25">
      <c r="A2425" s="2" t="s">
        <v>2206</v>
      </c>
      <c r="B2425" s="1">
        <v>14578</v>
      </c>
      <c r="C2425" t="s">
        <v>2187</v>
      </c>
      <c r="D2425" t="s">
        <v>2155</v>
      </c>
    </row>
    <row r="2426" spans="1:4" x14ac:dyDescent="0.25">
      <c r="A2426" s="2" t="s">
        <v>2207</v>
      </c>
      <c r="B2426" s="1">
        <v>14568</v>
      </c>
      <c r="C2426" t="s">
        <v>2187</v>
      </c>
      <c r="D2426" t="s">
        <v>2155</v>
      </c>
    </row>
    <row r="2427" spans="1:4" x14ac:dyDescent="0.25">
      <c r="A2427" s="2" t="s">
        <v>2208</v>
      </c>
      <c r="B2427" s="1">
        <v>14568</v>
      </c>
      <c r="C2427" t="s">
        <v>2187</v>
      </c>
      <c r="D2427" t="s">
        <v>2155</v>
      </c>
    </row>
    <row r="2428" spans="1:4" x14ac:dyDescent="0.25">
      <c r="A2428" s="2" t="s">
        <v>2209</v>
      </c>
      <c r="B2428" s="1">
        <v>14620</v>
      </c>
      <c r="C2428" t="s">
        <v>2187</v>
      </c>
      <c r="D2428" t="s">
        <v>2155</v>
      </c>
    </row>
    <row r="2429" spans="1:4" x14ac:dyDescent="0.25">
      <c r="A2429" s="2" t="s">
        <v>2210</v>
      </c>
      <c r="B2429" s="1">
        <v>14655</v>
      </c>
      <c r="C2429" t="s">
        <v>2187</v>
      </c>
      <c r="D2429" t="s">
        <v>2155</v>
      </c>
    </row>
    <row r="2430" spans="1:4" x14ac:dyDescent="0.25">
      <c r="A2430" s="2" t="s">
        <v>2211</v>
      </c>
      <c r="B2430" s="1">
        <v>14655</v>
      </c>
      <c r="C2430" t="s">
        <v>2187</v>
      </c>
      <c r="D2430" t="s">
        <v>2155</v>
      </c>
    </row>
    <row r="2431" spans="1:4" x14ac:dyDescent="0.25">
      <c r="A2431" s="2" t="s">
        <v>2212</v>
      </c>
      <c r="B2431" s="1">
        <v>14655</v>
      </c>
      <c r="C2431" t="s">
        <v>2187</v>
      </c>
      <c r="D2431" t="s">
        <v>2155</v>
      </c>
    </row>
    <row r="2432" spans="1:4" x14ac:dyDescent="0.25">
      <c r="A2432" s="2" t="s">
        <v>2213</v>
      </c>
      <c r="B2432" s="1">
        <v>14610</v>
      </c>
      <c r="C2432" t="s">
        <v>2187</v>
      </c>
      <c r="D2432" t="s">
        <v>2155</v>
      </c>
    </row>
    <row r="2433" spans="1:4" x14ac:dyDescent="0.25">
      <c r="A2433" s="2" t="s">
        <v>2214</v>
      </c>
      <c r="B2433" s="1">
        <v>14614</v>
      </c>
      <c r="C2433" t="s">
        <v>2187</v>
      </c>
      <c r="D2433" t="s">
        <v>2155</v>
      </c>
    </row>
    <row r="2434" spans="1:4" x14ac:dyDescent="0.25">
      <c r="A2434" s="2" t="s">
        <v>2215</v>
      </c>
      <c r="B2434" s="1">
        <v>14643</v>
      </c>
      <c r="C2434" t="s">
        <v>2187</v>
      </c>
      <c r="D2434" t="s">
        <v>2155</v>
      </c>
    </row>
    <row r="2435" spans="1:4" x14ac:dyDescent="0.25">
      <c r="A2435" s="2" t="s">
        <v>2216</v>
      </c>
      <c r="B2435" s="1">
        <v>14655</v>
      </c>
      <c r="C2435" t="s">
        <v>2187</v>
      </c>
      <c r="D2435" t="s">
        <v>2155</v>
      </c>
    </row>
    <row r="2436" spans="1:4" x14ac:dyDescent="0.25">
      <c r="A2436" s="2" t="s">
        <v>2217</v>
      </c>
      <c r="B2436" s="1">
        <v>14711</v>
      </c>
      <c r="C2436" t="s">
        <v>2187</v>
      </c>
      <c r="D2436" t="s">
        <v>2155</v>
      </c>
    </row>
    <row r="2437" spans="1:4" x14ac:dyDescent="0.25">
      <c r="A2437" s="2" t="s">
        <v>2218</v>
      </c>
      <c r="B2437" s="1">
        <v>14711</v>
      </c>
      <c r="C2437" t="s">
        <v>2219</v>
      </c>
      <c r="D2437" t="s">
        <v>2155</v>
      </c>
    </row>
    <row r="2438" spans="1:4" x14ac:dyDescent="0.25">
      <c r="A2438" s="2" t="s">
        <v>2220</v>
      </c>
      <c r="B2438" s="1">
        <v>14711</v>
      </c>
      <c r="C2438" t="s">
        <v>2219</v>
      </c>
      <c r="D2438" t="s">
        <v>2155</v>
      </c>
    </row>
    <row r="2439" spans="1:4" x14ac:dyDescent="0.25">
      <c r="A2439" s="2" t="s">
        <v>2221</v>
      </c>
      <c r="B2439" s="1">
        <v>14767</v>
      </c>
      <c r="C2439" t="s">
        <v>2219</v>
      </c>
      <c r="D2439" t="s">
        <v>2155</v>
      </c>
    </row>
    <row r="2440" spans="1:4" x14ac:dyDescent="0.25">
      <c r="A2440" s="2" t="s">
        <v>2222</v>
      </c>
      <c r="B2440" s="1">
        <v>14840</v>
      </c>
      <c r="C2440" t="s">
        <v>2219</v>
      </c>
      <c r="D2440" t="s">
        <v>2155</v>
      </c>
    </row>
    <row r="2441" spans="1:4" x14ac:dyDescent="0.25">
      <c r="A2441" s="2" t="s">
        <v>2223</v>
      </c>
      <c r="B2441" s="1">
        <v>14927</v>
      </c>
      <c r="C2441" t="s">
        <v>2219</v>
      </c>
      <c r="D2441" t="s">
        <v>2155</v>
      </c>
    </row>
    <row r="2442" spans="1:4" x14ac:dyDescent="0.25">
      <c r="A2442" s="2" t="s">
        <v>2224</v>
      </c>
      <c r="B2442" s="1">
        <v>14891</v>
      </c>
      <c r="C2442" t="s">
        <v>2219</v>
      </c>
      <c r="D2442" t="s">
        <v>2155</v>
      </c>
    </row>
    <row r="2443" spans="1:4" x14ac:dyDescent="0.25">
      <c r="A2443" s="2" t="s">
        <v>2225</v>
      </c>
      <c r="B2443" s="1">
        <v>14884</v>
      </c>
      <c r="C2443" t="s">
        <v>2219</v>
      </c>
      <c r="D2443" t="s">
        <v>2155</v>
      </c>
    </row>
    <row r="2444" spans="1:4" x14ac:dyDescent="0.25">
      <c r="A2444" s="2" t="s">
        <v>2226</v>
      </c>
      <c r="B2444" s="1">
        <v>14884</v>
      </c>
      <c r="C2444" t="s">
        <v>2219</v>
      </c>
      <c r="D2444" t="s">
        <v>2155</v>
      </c>
    </row>
    <row r="2445" spans="1:4" x14ac:dyDescent="0.25">
      <c r="A2445" s="2" t="s">
        <v>2227</v>
      </c>
      <c r="B2445" s="1">
        <v>14884</v>
      </c>
      <c r="C2445" t="s">
        <v>2219</v>
      </c>
      <c r="D2445" t="s">
        <v>2155</v>
      </c>
    </row>
    <row r="2446" spans="1:4" x14ac:dyDescent="0.25">
      <c r="A2446" s="2" t="s">
        <v>2228</v>
      </c>
      <c r="B2446" s="1">
        <v>14835</v>
      </c>
      <c r="C2446" t="s">
        <v>2219</v>
      </c>
      <c r="D2446" t="s">
        <v>2155</v>
      </c>
    </row>
    <row r="2447" spans="1:4" x14ac:dyDescent="0.25">
      <c r="A2447" s="2" t="s">
        <v>2229</v>
      </c>
      <c r="B2447" s="1">
        <v>14835</v>
      </c>
      <c r="C2447" t="s">
        <v>2219</v>
      </c>
      <c r="D2447" t="s">
        <v>2155</v>
      </c>
    </row>
    <row r="2448" spans="1:4" x14ac:dyDescent="0.25">
      <c r="A2448" s="2" t="s">
        <v>2230</v>
      </c>
      <c r="B2448" s="1">
        <v>14863</v>
      </c>
      <c r="C2448" t="s">
        <v>2219</v>
      </c>
      <c r="D2448" t="s">
        <v>2155</v>
      </c>
    </row>
    <row r="2449" spans="1:4" x14ac:dyDescent="0.25">
      <c r="A2449" s="2" t="s">
        <v>2231</v>
      </c>
      <c r="B2449" s="1">
        <v>14794</v>
      </c>
      <c r="C2449" t="s">
        <v>2219</v>
      </c>
      <c r="D2449" t="s">
        <v>2155</v>
      </c>
    </row>
    <row r="2450" spans="1:4" x14ac:dyDescent="0.25">
      <c r="A2450" s="2" t="s">
        <v>2232</v>
      </c>
      <c r="B2450" s="1">
        <v>14835</v>
      </c>
      <c r="C2450" t="s">
        <v>2219</v>
      </c>
      <c r="D2450" t="s">
        <v>2155</v>
      </c>
    </row>
    <row r="2451" spans="1:4" x14ac:dyDescent="0.25">
      <c r="A2451" s="2" t="s">
        <v>2233</v>
      </c>
      <c r="B2451" s="1">
        <v>14835</v>
      </c>
      <c r="C2451" t="s">
        <v>2219</v>
      </c>
      <c r="D2451" t="s">
        <v>2155</v>
      </c>
    </row>
    <row r="2452" spans="1:4" x14ac:dyDescent="0.25">
      <c r="A2452" s="2" t="s">
        <v>2234</v>
      </c>
      <c r="B2452" s="1">
        <v>14835</v>
      </c>
      <c r="C2452" t="s">
        <v>2219</v>
      </c>
      <c r="D2452" t="s">
        <v>2155</v>
      </c>
    </row>
    <row r="2453" spans="1:4" x14ac:dyDescent="0.25">
      <c r="A2453" s="2" t="s">
        <v>2235</v>
      </c>
      <c r="B2453" s="1">
        <v>14859</v>
      </c>
      <c r="C2453" t="s">
        <v>2219</v>
      </c>
      <c r="D2453" t="s">
        <v>2155</v>
      </c>
    </row>
    <row r="2454" spans="1:4" x14ac:dyDescent="0.25">
      <c r="A2454" s="2" t="s">
        <v>2236</v>
      </c>
      <c r="B2454" s="1">
        <v>14908</v>
      </c>
      <c r="C2454" t="s">
        <v>2219</v>
      </c>
      <c r="D2454" t="s">
        <v>2155</v>
      </c>
    </row>
    <row r="2455" spans="1:4" x14ac:dyDescent="0.25">
      <c r="A2455" s="2" t="s">
        <v>2237</v>
      </c>
      <c r="B2455" s="1">
        <v>14896</v>
      </c>
      <c r="C2455" t="s">
        <v>2219</v>
      </c>
      <c r="D2455" t="s">
        <v>2155</v>
      </c>
    </row>
    <row r="2456" spans="1:4" x14ac:dyDescent="0.25">
      <c r="A2456" s="2" t="s">
        <v>2238</v>
      </c>
      <c r="B2456" s="1">
        <v>14839</v>
      </c>
      <c r="C2456" t="s">
        <v>2219</v>
      </c>
      <c r="D2456" t="s">
        <v>2155</v>
      </c>
    </row>
    <row r="2457" spans="1:4" x14ac:dyDescent="0.25">
      <c r="A2457" s="2" t="s">
        <v>2239</v>
      </c>
      <c r="B2457" s="1">
        <v>14824</v>
      </c>
      <c r="C2457" t="s">
        <v>2219</v>
      </c>
      <c r="D2457" t="s">
        <v>2155</v>
      </c>
    </row>
    <row r="2458" spans="1:4" x14ac:dyDescent="0.25">
      <c r="A2458" s="2" t="s">
        <v>2240</v>
      </c>
      <c r="B2458" s="1">
        <v>14824</v>
      </c>
      <c r="C2458" t="s">
        <v>2219</v>
      </c>
      <c r="D2458" t="s">
        <v>2155</v>
      </c>
    </row>
    <row r="2459" spans="1:4" x14ac:dyDescent="0.25">
      <c r="A2459" s="2" t="s">
        <v>2241</v>
      </c>
      <c r="B2459" s="1">
        <v>14824</v>
      </c>
      <c r="C2459" t="s">
        <v>2219</v>
      </c>
      <c r="D2459" t="s">
        <v>2155</v>
      </c>
    </row>
    <row r="2460" spans="1:4" x14ac:dyDescent="0.25">
      <c r="A2460" s="2" t="s">
        <v>2242</v>
      </c>
      <c r="B2460" s="1">
        <v>14865</v>
      </c>
      <c r="C2460" t="s">
        <v>2219</v>
      </c>
      <c r="D2460" t="s">
        <v>2155</v>
      </c>
    </row>
    <row r="2461" spans="1:4" x14ac:dyDescent="0.25">
      <c r="A2461" s="2" t="s">
        <v>2243</v>
      </c>
      <c r="B2461" s="1">
        <v>14893</v>
      </c>
      <c r="C2461" t="s">
        <v>2219</v>
      </c>
      <c r="D2461" t="s">
        <v>2155</v>
      </c>
    </row>
    <row r="2462" spans="1:4" x14ac:dyDescent="0.25">
      <c r="A2462" s="2" t="s">
        <v>2244</v>
      </c>
      <c r="B2462" s="1">
        <v>14938</v>
      </c>
      <c r="C2462" t="s">
        <v>2219</v>
      </c>
      <c r="D2462" t="s">
        <v>2155</v>
      </c>
    </row>
    <row r="2463" spans="1:4" x14ac:dyDescent="0.25">
      <c r="A2463" s="2" t="s">
        <v>2245</v>
      </c>
      <c r="B2463" s="1">
        <v>14919</v>
      </c>
      <c r="C2463" t="s">
        <v>2219</v>
      </c>
      <c r="D2463" t="s">
        <v>2155</v>
      </c>
    </row>
    <row r="2464" spans="1:4" x14ac:dyDescent="0.25">
      <c r="A2464" s="2" t="s">
        <v>2246</v>
      </c>
      <c r="B2464" s="1">
        <v>14929</v>
      </c>
      <c r="C2464" t="s">
        <v>2219</v>
      </c>
      <c r="D2464" t="s">
        <v>2155</v>
      </c>
    </row>
    <row r="2465" spans="1:4" x14ac:dyDescent="0.25">
      <c r="A2465" s="2" t="s">
        <v>2247</v>
      </c>
      <c r="B2465" s="1">
        <v>14929</v>
      </c>
      <c r="C2465" t="s">
        <v>2219</v>
      </c>
      <c r="D2465" t="s">
        <v>2155</v>
      </c>
    </row>
    <row r="2466" spans="1:4" x14ac:dyDescent="0.25">
      <c r="A2466" s="2" t="s">
        <v>2248</v>
      </c>
      <c r="B2466" s="1">
        <v>14929</v>
      </c>
      <c r="C2466" t="s">
        <v>2219</v>
      </c>
      <c r="D2466" t="s">
        <v>2155</v>
      </c>
    </row>
    <row r="2467" spans="1:4" x14ac:dyDescent="0.25">
      <c r="A2467" s="2" t="s">
        <v>2249</v>
      </c>
      <c r="B2467" s="1">
        <v>14905</v>
      </c>
      <c r="C2467" t="s">
        <v>2250</v>
      </c>
      <c r="D2467" t="s">
        <v>2251</v>
      </c>
    </row>
    <row r="2468" spans="1:4" x14ac:dyDescent="0.25">
      <c r="A2468" s="2" t="s">
        <v>2252</v>
      </c>
      <c r="B2468" s="1">
        <v>14988</v>
      </c>
      <c r="C2468" t="s">
        <v>2250</v>
      </c>
      <c r="D2468" t="s">
        <v>2251</v>
      </c>
    </row>
    <row r="2469" spans="1:4" x14ac:dyDescent="0.25">
      <c r="A2469" s="2" t="s">
        <v>2253</v>
      </c>
      <c r="B2469" s="1">
        <v>15088</v>
      </c>
      <c r="C2469" t="s">
        <v>2250</v>
      </c>
      <c r="D2469" t="s">
        <v>2251</v>
      </c>
    </row>
    <row r="2470" spans="1:4" x14ac:dyDescent="0.25">
      <c r="A2470" s="2" t="s">
        <v>2254</v>
      </c>
      <c r="B2470" s="1">
        <v>15133</v>
      </c>
      <c r="C2470" t="s">
        <v>2250</v>
      </c>
      <c r="D2470" t="s">
        <v>2251</v>
      </c>
    </row>
    <row r="2471" spans="1:4" x14ac:dyDescent="0.25">
      <c r="A2471" s="2" t="s">
        <v>2255</v>
      </c>
      <c r="B2471" s="1">
        <v>15182</v>
      </c>
      <c r="C2471" t="s">
        <v>2250</v>
      </c>
      <c r="D2471" t="s">
        <v>2251</v>
      </c>
    </row>
    <row r="2472" spans="1:4" x14ac:dyDescent="0.25">
      <c r="A2472" s="2" t="s">
        <v>2256</v>
      </c>
      <c r="B2472" s="1">
        <v>15182</v>
      </c>
      <c r="C2472" t="s">
        <v>2250</v>
      </c>
      <c r="D2472" t="s">
        <v>2251</v>
      </c>
    </row>
    <row r="2473" spans="1:4" x14ac:dyDescent="0.25">
      <c r="A2473" s="2" t="s">
        <v>2257</v>
      </c>
      <c r="B2473" s="1">
        <v>15182</v>
      </c>
      <c r="C2473" t="s">
        <v>2250</v>
      </c>
      <c r="D2473" t="s">
        <v>2251</v>
      </c>
    </row>
    <row r="2474" spans="1:4" x14ac:dyDescent="0.25">
      <c r="A2474" s="2" t="s">
        <v>2258</v>
      </c>
      <c r="B2474" s="1">
        <v>15193</v>
      </c>
      <c r="C2474" t="s">
        <v>2250</v>
      </c>
      <c r="D2474" t="s">
        <v>2251</v>
      </c>
    </row>
    <row r="2475" spans="1:4" x14ac:dyDescent="0.25">
      <c r="A2475" s="2" t="s">
        <v>2259</v>
      </c>
      <c r="B2475" s="1">
        <v>15233</v>
      </c>
      <c r="C2475" t="s">
        <v>2250</v>
      </c>
      <c r="D2475" t="s">
        <v>2251</v>
      </c>
    </row>
    <row r="2476" spans="1:4" x14ac:dyDescent="0.25">
      <c r="A2476" s="2" t="s">
        <v>2260</v>
      </c>
      <c r="B2476" s="1">
        <v>15215</v>
      </c>
      <c r="C2476" t="s">
        <v>2250</v>
      </c>
      <c r="D2476" t="s">
        <v>2251</v>
      </c>
    </row>
    <row r="2477" spans="1:4" x14ac:dyDescent="0.25">
      <c r="A2477" s="2" t="s">
        <v>2261</v>
      </c>
      <c r="B2477" s="1">
        <v>15253</v>
      </c>
      <c r="C2477" t="s">
        <v>2250</v>
      </c>
      <c r="D2477" t="s">
        <v>2251</v>
      </c>
    </row>
    <row r="2478" spans="1:4" x14ac:dyDescent="0.25">
      <c r="A2478" s="2" t="s">
        <v>2262</v>
      </c>
      <c r="B2478" s="1">
        <v>15194</v>
      </c>
      <c r="C2478" t="s">
        <v>2250</v>
      </c>
      <c r="D2478" t="s">
        <v>2251</v>
      </c>
    </row>
    <row r="2479" spans="1:4" x14ac:dyDescent="0.25">
      <c r="A2479" s="2" t="s">
        <v>2263</v>
      </c>
      <c r="B2479" s="1">
        <v>15194</v>
      </c>
      <c r="C2479" t="s">
        <v>2250</v>
      </c>
      <c r="D2479" t="s">
        <v>2251</v>
      </c>
    </row>
    <row r="2480" spans="1:4" x14ac:dyDescent="0.25">
      <c r="A2480" s="2" t="s">
        <v>2264</v>
      </c>
      <c r="B2480" s="1">
        <v>15194</v>
      </c>
      <c r="C2480" t="s">
        <v>2250</v>
      </c>
      <c r="D2480" t="s">
        <v>2251</v>
      </c>
    </row>
    <row r="2481" spans="1:4" x14ac:dyDescent="0.25">
      <c r="A2481" s="2" t="s">
        <v>2265</v>
      </c>
      <c r="B2481" s="1">
        <v>15246</v>
      </c>
      <c r="C2481" t="s">
        <v>2250</v>
      </c>
      <c r="D2481" t="s">
        <v>2251</v>
      </c>
    </row>
    <row r="2482" spans="1:4" x14ac:dyDescent="0.25">
      <c r="A2482" s="2" t="s">
        <v>2266</v>
      </c>
      <c r="B2482" s="1">
        <v>15206</v>
      </c>
      <c r="C2482" t="s">
        <v>2250</v>
      </c>
      <c r="D2482" t="s">
        <v>2251</v>
      </c>
    </row>
    <row r="2483" spans="1:4" x14ac:dyDescent="0.25">
      <c r="A2483" s="2" t="s">
        <v>2267</v>
      </c>
      <c r="B2483" s="1">
        <v>15178</v>
      </c>
      <c r="C2483" t="s">
        <v>2250</v>
      </c>
      <c r="D2483" t="s">
        <v>2251</v>
      </c>
    </row>
    <row r="2484" spans="1:4" x14ac:dyDescent="0.25">
      <c r="A2484" s="2" t="s">
        <v>2268</v>
      </c>
      <c r="B2484" s="1">
        <v>15187</v>
      </c>
      <c r="C2484" t="s">
        <v>2250</v>
      </c>
      <c r="D2484" t="s">
        <v>2251</v>
      </c>
    </row>
    <row r="2485" spans="1:4" x14ac:dyDescent="0.25">
      <c r="A2485" s="2" t="s">
        <v>2269</v>
      </c>
      <c r="B2485" s="1">
        <v>15221</v>
      </c>
      <c r="C2485" t="s">
        <v>2250</v>
      </c>
      <c r="D2485" t="s">
        <v>2251</v>
      </c>
    </row>
    <row r="2486" spans="1:4" x14ac:dyDescent="0.25">
      <c r="A2486" s="2" t="s">
        <v>2270</v>
      </c>
      <c r="B2486" s="1">
        <v>15221</v>
      </c>
      <c r="C2486" t="s">
        <v>2250</v>
      </c>
      <c r="D2486" t="s">
        <v>2251</v>
      </c>
    </row>
    <row r="2487" spans="1:4" x14ac:dyDescent="0.25">
      <c r="A2487" s="2" t="s">
        <v>2271</v>
      </c>
      <c r="B2487" s="1">
        <v>15221</v>
      </c>
      <c r="C2487" t="s">
        <v>2250</v>
      </c>
      <c r="D2487" t="s">
        <v>2251</v>
      </c>
    </row>
    <row r="2488" spans="1:4" x14ac:dyDescent="0.25">
      <c r="A2488" s="2" t="s">
        <v>2272</v>
      </c>
      <c r="B2488" s="1">
        <v>15192</v>
      </c>
      <c r="C2488" t="s">
        <v>2250</v>
      </c>
      <c r="D2488" t="s">
        <v>2251</v>
      </c>
    </row>
    <row r="2489" spans="1:4" x14ac:dyDescent="0.25">
      <c r="A2489" s="2" t="s">
        <v>2273</v>
      </c>
      <c r="B2489" s="1">
        <v>15208</v>
      </c>
      <c r="C2489" t="s">
        <v>2250</v>
      </c>
      <c r="D2489" t="s">
        <v>2251</v>
      </c>
    </row>
    <row r="2490" spans="1:4" x14ac:dyDescent="0.25">
      <c r="A2490" s="2" t="s">
        <v>2274</v>
      </c>
      <c r="B2490" s="1">
        <v>15193</v>
      </c>
      <c r="C2490" t="s">
        <v>2250</v>
      </c>
      <c r="D2490" t="s">
        <v>2251</v>
      </c>
    </row>
    <row r="2491" spans="1:4" x14ac:dyDescent="0.25">
      <c r="A2491" s="2" t="s">
        <v>2275</v>
      </c>
      <c r="B2491" s="1">
        <v>15210</v>
      </c>
      <c r="C2491" t="s">
        <v>2250</v>
      </c>
      <c r="D2491" t="s">
        <v>2251</v>
      </c>
    </row>
    <row r="2492" spans="1:4" x14ac:dyDescent="0.25">
      <c r="A2492" s="2" t="s">
        <v>2276</v>
      </c>
      <c r="B2492" s="1">
        <v>15207</v>
      </c>
      <c r="C2492" t="s">
        <v>2250</v>
      </c>
      <c r="D2492" t="s">
        <v>2251</v>
      </c>
    </row>
    <row r="2493" spans="1:4" x14ac:dyDescent="0.25">
      <c r="A2493" s="2" t="s">
        <v>2277</v>
      </c>
      <c r="B2493" s="1">
        <v>15207</v>
      </c>
      <c r="C2493" t="s">
        <v>2250</v>
      </c>
      <c r="D2493" t="s">
        <v>2251</v>
      </c>
    </row>
    <row r="2494" spans="1:4" x14ac:dyDescent="0.25">
      <c r="A2494" s="2" t="s">
        <v>2278</v>
      </c>
      <c r="B2494" s="1">
        <v>15207</v>
      </c>
      <c r="C2494" t="s">
        <v>2250</v>
      </c>
      <c r="D2494" t="s">
        <v>2251</v>
      </c>
    </row>
    <row r="2495" spans="1:4" x14ac:dyDescent="0.25">
      <c r="A2495" s="2" t="s">
        <v>2279</v>
      </c>
      <c r="B2495" s="1">
        <v>15218</v>
      </c>
      <c r="C2495" t="s">
        <v>2250</v>
      </c>
      <c r="D2495" t="s">
        <v>2251</v>
      </c>
    </row>
    <row r="2496" spans="1:4" x14ac:dyDescent="0.25">
      <c r="A2496" s="2" t="s">
        <v>2280</v>
      </c>
      <c r="B2496" s="1">
        <v>15237</v>
      </c>
      <c r="C2496" t="s">
        <v>2250</v>
      </c>
      <c r="D2496" t="s">
        <v>2251</v>
      </c>
    </row>
    <row r="2497" spans="1:4" x14ac:dyDescent="0.25">
      <c r="A2497" s="2" t="s">
        <v>2281</v>
      </c>
      <c r="B2497" s="1">
        <v>15227</v>
      </c>
      <c r="C2497" t="s">
        <v>2250</v>
      </c>
      <c r="D2497" t="s">
        <v>2251</v>
      </c>
    </row>
    <row r="2498" spans="1:4" x14ac:dyDescent="0.25">
      <c r="A2498" s="2" t="s">
        <v>2282</v>
      </c>
      <c r="B2498" s="1">
        <v>15195</v>
      </c>
      <c r="C2498" t="s">
        <v>2283</v>
      </c>
      <c r="D2498" t="s">
        <v>2251</v>
      </c>
    </row>
    <row r="2499" spans="1:4" x14ac:dyDescent="0.25">
      <c r="A2499" s="2" t="s">
        <v>2284</v>
      </c>
      <c r="B2499" s="1">
        <v>15089</v>
      </c>
      <c r="C2499" t="s">
        <v>2283</v>
      </c>
      <c r="D2499" t="s">
        <v>2251</v>
      </c>
    </row>
    <row r="2500" spans="1:4" x14ac:dyDescent="0.25">
      <c r="A2500" s="2" t="s">
        <v>2285</v>
      </c>
      <c r="B2500" s="1">
        <v>15089</v>
      </c>
      <c r="C2500" t="s">
        <v>2283</v>
      </c>
      <c r="D2500" t="s">
        <v>2251</v>
      </c>
    </row>
    <row r="2501" spans="1:4" x14ac:dyDescent="0.25">
      <c r="A2501" s="2" t="s">
        <v>2286</v>
      </c>
      <c r="B2501" s="1">
        <v>15089</v>
      </c>
      <c r="C2501" t="s">
        <v>2283</v>
      </c>
      <c r="D2501" t="s">
        <v>2251</v>
      </c>
    </row>
    <row r="2502" spans="1:4" x14ac:dyDescent="0.25">
      <c r="A2502" s="2" t="s">
        <v>2287</v>
      </c>
      <c r="B2502" s="1">
        <v>14972</v>
      </c>
      <c r="C2502" t="s">
        <v>2283</v>
      </c>
      <c r="D2502" t="s">
        <v>2251</v>
      </c>
    </row>
    <row r="2503" spans="1:4" x14ac:dyDescent="0.25">
      <c r="A2503" s="2" t="s">
        <v>2288</v>
      </c>
      <c r="B2503" s="1">
        <v>14891</v>
      </c>
      <c r="C2503" t="s">
        <v>2283</v>
      </c>
      <c r="D2503" t="s">
        <v>2251</v>
      </c>
    </row>
    <row r="2504" spans="1:4" x14ac:dyDescent="0.25">
      <c r="A2504" s="2" t="s">
        <v>2289</v>
      </c>
      <c r="B2504" s="1">
        <v>14764</v>
      </c>
      <c r="C2504" t="s">
        <v>2283</v>
      </c>
      <c r="D2504" t="s">
        <v>2251</v>
      </c>
    </row>
    <row r="2505" spans="1:4" x14ac:dyDescent="0.25">
      <c r="A2505" s="2" t="s">
        <v>2290</v>
      </c>
      <c r="B2505" s="1">
        <v>14651</v>
      </c>
      <c r="C2505" t="s">
        <v>2283</v>
      </c>
      <c r="D2505" t="s">
        <v>2251</v>
      </c>
    </row>
    <row r="2506" spans="1:4" x14ac:dyDescent="0.25">
      <c r="A2506" s="2" t="s">
        <v>2291</v>
      </c>
      <c r="B2506" s="1">
        <v>14632</v>
      </c>
      <c r="C2506" t="s">
        <v>2283</v>
      </c>
      <c r="D2506" t="s">
        <v>2251</v>
      </c>
    </row>
    <row r="2507" spans="1:4" x14ac:dyDescent="0.25">
      <c r="A2507" s="2" t="s">
        <v>2292</v>
      </c>
      <c r="B2507" s="1">
        <v>14632</v>
      </c>
      <c r="C2507" t="s">
        <v>2283</v>
      </c>
      <c r="D2507" t="s">
        <v>2251</v>
      </c>
    </row>
    <row r="2508" spans="1:4" x14ac:dyDescent="0.25">
      <c r="A2508" s="2" t="s">
        <v>2293</v>
      </c>
      <c r="B2508" s="1">
        <v>14632</v>
      </c>
      <c r="C2508" t="s">
        <v>2283</v>
      </c>
      <c r="D2508" t="s">
        <v>2251</v>
      </c>
    </row>
    <row r="2509" spans="1:4" x14ac:dyDescent="0.25">
      <c r="A2509" s="2" t="s">
        <v>2294</v>
      </c>
      <c r="B2509" s="1">
        <v>14747</v>
      </c>
      <c r="C2509" t="s">
        <v>2283</v>
      </c>
      <c r="D2509" t="s">
        <v>2251</v>
      </c>
    </row>
    <row r="2510" spans="1:4" x14ac:dyDescent="0.25">
      <c r="A2510" s="2" t="s">
        <v>2295</v>
      </c>
      <c r="B2510" s="1">
        <v>14895</v>
      </c>
      <c r="C2510" t="s">
        <v>2283</v>
      </c>
      <c r="D2510" t="s">
        <v>2251</v>
      </c>
    </row>
    <row r="2511" spans="1:4" x14ac:dyDescent="0.25">
      <c r="A2511" s="2" t="s">
        <v>2296</v>
      </c>
      <c r="B2511" s="1">
        <v>14755</v>
      </c>
      <c r="C2511" t="s">
        <v>2283</v>
      </c>
      <c r="D2511" t="s">
        <v>2251</v>
      </c>
    </row>
    <row r="2512" spans="1:4" x14ac:dyDescent="0.25">
      <c r="A2512" s="2" t="s">
        <v>2297</v>
      </c>
      <c r="B2512" s="1">
        <v>14764</v>
      </c>
      <c r="C2512" t="s">
        <v>2283</v>
      </c>
      <c r="D2512" t="s">
        <v>2251</v>
      </c>
    </row>
    <row r="2513" spans="1:4" x14ac:dyDescent="0.25">
      <c r="A2513" s="2" t="s">
        <v>2298</v>
      </c>
      <c r="B2513" s="1">
        <v>14594</v>
      </c>
      <c r="C2513" t="s">
        <v>2283</v>
      </c>
      <c r="D2513" t="s">
        <v>2251</v>
      </c>
    </row>
    <row r="2514" spans="1:4" x14ac:dyDescent="0.25">
      <c r="A2514" s="2" t="s">
        <v>2299</v>
      </c>
      <c r="B2514" s="1">
        <v>14594</v>
      </c>
      <c r="C2514" t="s">
        <v>2283</v>
      </c>
      <c r="D2514" t="s">
        <v>2251</v>
      </c>
    </row>
    <row r="2515" spans="1:4" x14ac:dyDescent="0.25">
      <c r="A2515" s="2" t="s">
        <v>2300</v>
      </c>
      <c r="B2515" s="1">
        <v>14594</v>
      </c>
      <c r="C2515" t="s">
        <v>2283</v>
      </c>
      <c r="D2515" t="s">
        <v>2251</v>
      </c>
    </row>
    <row r="2516" spans="1:4" x14ac:dyDescent="0.25">
      <c r="A2516" s="2" t="s">
        <v>2301</v>
      </c>
      <c r="B2516" s="1">
        <v>14586</v>
      </c>
      <c r="C2516" t="s">
        <v>2283</v>
      </c>
      <c r="D2516" t="s">
        <v>2251</v>
      </c>
    </row>
    <row r="2517" spans="1:4" x14ac:dyDescent="0.25">
      <c r="A2517" s="2" t="s">
        <v>2302</v>
      </c>
      <c r="B2517" s="1">
        <v>14586</v>
      </c>
      <c r="C2517" t="s">
        <v>2283</v>
      </c>
      <c r="D2517" t="s">
        <v>2251</v>
      </c>
    </row>
    <row r="2518" spans="1:4" x14ac:dyDescent="0.25">
      <c r="A2518" s="2" t="s">
        <v>2303</v>
      </c>
      <c r="B2518" s="1">
        <v>14618</v>
      </c>
      <c r="C2518" t="s">
        <v>2283</v>
      </c>
      <c r="D2518" t="s">
        <v>2251</v>
      </c>
    </row>
    <row r="2519" spans="1:4" x14ac:dyDescent="0.25">
      <c r="A2519" s="2" t="s">
        <v>2304</v>
      </c>
      <c r="B2519" s="1">
        <v>14592</v>
      </c>
      <c r="C2519" t="s">
        <v>2283</v>
      </c>
      <c r="D2519" t="s">
        <v>2251</v>
      </c>
    </row>
    <row r="2520" spans="1:4" x14ac:dyDescent="0.25">
      <c r="A2520" s="2" t="s">
        <v>2305</v>
      </c>
      <c r="B2520" s="1">
        <v>14552</v>
      </c>
      <c r="C2520" t="s">
        <v>2283</v>
      </c>
      <c r="D2520" t="s">
        <v>2251</v>
      </c>
    </row>
    <row r="2521" spans="1:4" x14ac:dyDescent="0.25">
      <c r="A2521" s="2" t="s">
        <v>2306</v>
      </c>
      <c r="B2521" s="1">
        <v>14552</v>
      </c>
      <c r="C2521" t="s">
        <v>2283</v>
      </c>
      <c r="D2521" t="s">
        <v>2251</v>
      </c>
    </row>
    <row r="2522" spans="1:4" x14ac:dyDescent="0.25">
      <c r="A2522" s="2" t="s">
        <v>2307</v>
      </c>
      <c r="B2522" s="1">
        <v>14552</v>
      </c>
      <c r="C2522" t="s">
        <v>2283</v>
      </c>
      <c r="D2522" t="s">
        <v>2251</v>
      </c>
    </row>
    <row r="2523" spans="1:4" x14ac:dyDescent="0.25">
      <c r="A2523" s="2" t="s">
        <v>2308</v>
      </c>
      <c r="B2523" s="1">
        <v>14551</v>
      </c>
      <c r="C2523" t="s">
        <v>2283</v>
      </c>
      <c r="D2523" t="s">
        <v>2251</v>
      </c>
    </row>
    <row r="2524" spans="1:4" x14ac:dyDescent="0.25">
      <c r="A2524" s="2" t="s">
        <v>2309</v>
      </c>
      <c r="B2524" s="1">
        <v>14504</v>
      </c>
      <c r="C2524" t="s">
        <v>2283</v>
      </c>
      <c r="D2524" t="s">
        <v>2251</v>
      </c>
    </row>
    <row r="2525" spans="1:4" x14ac:dyDescent="0.25">
      <c r="A2525" s="2" t="s">
        <v>2310</v>
      </c>
      <c r="B2525" s="1">
        <v>14535</v>
      </c>
      <c r="C2525" t="s">
        <v>2283</v>
      </c>
      <c r="D2525" t="s">
        <v>2251</v>
      </c>
    </row>
    <row r="2526" spans="1:4" x14ac:dyDescent="0.25">
      <c r="A2526" s="2" t="s">
        <v>2311</v>
      </c>
      <c r="B2526" s="1">
        <v>14408</v>
      </c>
      <c r="C2526" t="s">
        <v>2283</v>
      </c>
      <c r="D2526" t="s">
        <v>2251</v>
      </c>
    </row>
    <row r="2527" spans="1:4" x14ac:dyDescent="0.25">
      <c r="A2527" s="2" t="s">
        <v>2312</v>
      </c>
      <c r="B2527" s="1">
        <v>14339</v>
      </c>
      <c r="C2527" t="s">
        <v>2283</v>
      </c>
      <c r="D2527" t="s">
        <v>2251</v>
      </c>
    </row>
    <row r="2528" spans="1:4" x14ac:dyDescent="0.25">
      <c r="A2528" s="2" t="s">
        <v>2313</v>
      </c>
      <c r="B2528" s="1">
        <v>14339</v>
      </c>
      <c r="C2528" t="s">
        <v>2314</v>
      </c>
      <c r="D2528" t="s">
        <v>2251</v>
      </c>
    </row>
    <row r="2529" spans="1:4" x14ac:dyDescent="0.25">
      <c r="A2529" s="2" t="s">
        <v>2315</v>
      </c>
      <c r="B2529" s="1">
        <v>14339</v>
      </c>
      <c r="C2529" t="s">
        <v>2314</v>
      </c>
      <c r="D2529" t="s">
        <v>2251</v>
      </c>
    </row>
    <row r="2530" spans="1:4" x14ac:dyDescent="0.25">
      <c r="A2530" s="2" t="s">
        <v>2316</v>
      </c>
      <c r="B2530" s="1">
        <v>14252</v>
      </c>
      <c r="C2530" t="s">
        <v>2314</v>
      </c>
      <c r="D2530" t="s">
        <v>2251</v>
      </c>
    </row>
    <row r="2531" spans="1:4" x14ac:dyDescent="0.25">
      <c r="A2531" s="2" t="s">
        <v>2317</v>
      </c>
      <c r="B2531" s="1">
        <v>14293</v>
      </c>
      <c r="C2531" t="s">
        <v>2314</v>
      </c>
      <c r="D2531" t="s">
        <v>2251</v>
      </c>
    </row>
    <row r="2532" spans="1:4" x14ac:dyDescent="0.25">
      <c r="A2532" s="2" t="s">
        <v>2318</v>
      </c>
      <c r="B2532" s="1">
        <v>14383</v>
      </c>
      <c r="C2532" t="s">
        <v>2314</v>
      </c>
      <c r="D2532" t="s">
        <v>2251</v>
      </c>
    </row>
    <row r="2533" spans="1:4" x14ac:dyDescent="0.25">
      <c r="A2533" s="2" t="s">
        <v>2319</v>
      </c>
      <c r="B2533" s="1">
        <v>14507</v>
      </c>
      <c r="C2533" t="s">
        <v>2314</v>
      </c>
      <c r="D2533" t="s">
        <v>2251</v>
      </c>
    </row>
    <row r="2534" spans="1:4" x14ac:dyDescent="0.25">
      <c r="A2534" s="2" t="s">
        <v>2320</v>
      </c>
      <c r="B2534" s="1">
        <v>14539</v>
      </c>
      <c r="C2534" t="s">
        <v>2314</v>
      </c>
      <c r="D2534" t="s">
        <v>2251</v>
      </c>
    </row>
    <row r="2535" spans="1:4" x14ac:dyDescent="0.25">
      <c r="A2535" s="2" t="s">
        <v>2321</v>
      </c>
      <c r="B2535" s="1">
        <v>14539</v>
      </c>
      <c r="C2535" t="s">
        <v>2314</v>
      </c>
      <c r="D2535" t="s">
        <v>2251</v>
      </c>
    </row>
    <row r="2536" spans="1:4" x14ac:dyDescent="0.25">
      <c r="A2536" s="2" t="s">
        <v>2322</v>
      </c>
      <c r="B2536" s="1">
        <v>14539</v>
      </c>
      <c r="C2536" t="s">
        <v>2314</v>
      </c>
      <c r="D2536" t="s">
        <v>2251</v>
      </c>
    </row>
    <row r="2537" spans="1:4" x14ac:dyDescent="0.25">
      <c r="A2537" s="2" t="s">
        <v>2323</v>
      </c>
      <c r="B2537" s="1">
        <v>14517</v>
      </c>
      <c r="C2537" t="s">
        <v>2314</v>
      </c>
      <c r="D2537" t="s">
        <v>2251</v>
      </c>
    </row>
    <row r="2538" spans="1:4" x14ac:dyDescent="0.25">
      <c r="A2538" s="2" t="s">
        <v>2324</v>
      </c>
      <c r="B2538" s="1">
        <v>14613</v>
      </c>
      <c r="C2538" t="s">
        <v>2314</v>
      </c>
      <c r="D2538" t="s">
        <v>2251</v>
      </c>
    </row>
    <row r="2539" spans="1:4" x14ac:dyDescent="0.25">
      <c r="A2539" s="2" t="s">
        <v>2325</v>
      </c>
      <c r="B2539" s="1">
        <v>14577</v>
      </c>
      <c r="C2539" t="s">
        <v>2314</v>
      </c>
      <c r="D2539" t="s">
        <v>2251</v>
      </c>
    </row>
    <row r="2540" spans="1:4" x14ac:dyDescent="0.25">
      <c r="A2540" s="2" t="s">
        <v>2326</v>
      </c>
      <c r="B2540" s="1">
        <v>14536</v>
      </c>
      <c r="C2540" t="s">
        <v>2314</v>
      </c>
      <c r="D2540" t="s">
        <v>2251</v>
      </c>
    </row>
    <row r="2541" spans="1:4" x14ac:dyDescent="0.25">
      <c r="A2541" s="2" t="s">
        <v>2327</v>
      </c>
      <c r="B2541" s="1">
        <v>14538</v>
      </c>
      <c r="C2541" t="s">
        <v>2314</v>
      </c>
      <c r="D2541" t="s">
        <v>2251</v>
      </c>
    </row>
    <row r="2542" spans="1:4" x14ac:dyDescent="0.25">
      <c r="A2542" s="2" t="s">
        <v>2328</v>
      </c>
      <c r="B2542" s="1">
        <v>14538</v>
      </c>
      <c r="C2542" t="s">
        <v>2314</v>
      </c>
      <c r="D2542" t="s">
        <v>2251</v>
      </c>
    </row>
    <row r="2543" spans="1:4" x14ac:dyDescent="0.25">
      <c r="A2543" s="2" t="s">
        <v>2329</v>
      </c>
      <c r="B2543" s="1">
        <v>14538</v>
      </c>
      <c r="C2543" t="s">
        <v>2314</v>
      </c>
      <c r="D2543" t="s">
        <v>2251</v>
      </c>
    </row>
    <row r="2544" spans="1:4" x14ac:dyDescent="0.25">
      <c r="A2544" s="2" t="s">
        <v>2330</v>
      </c>
      <c r="B2544" s="1">
        <v>14617</v>
      </c>
      <c r="C2544" t="s">
        <v>2314</v>
      </c>
      <c r="D2544" t="s">
        <v>2251</v>
      </c>
    </row>
    <row r="2545" spans="1:4" x14ac:dyDescent="0.25">
      <c r="A2545" s="2" t="s">
        <v>2331</v>
      </c>
      <c r="B2545" s="1">
        <v>14523</v>
      </c>
      <c r="C2545" t="s">
        <v>2314</v>
      </c>
      <c r="D2545" t="s">
        <v>2251</v>
      </c>
    </row>
    <row r="2546" spans="1:4" x14ac:dyDescent="0.25">
      <c r="A2546" s="2" t="s">
        <v>2332</v>
      </c>
      <c r="B2546" s="1">
        <v>14380</v>
      </c>
      <c r="C2546" t="s">
        <v>2314</v>
      </c>
      <c r="D2546" t="s">
        <v>2251</v>
      </c>
    </row>
    <row r="2547" spans="1:4" x14ac:dyDescent="0.25">
      <c r="A2547" s="2" t="s">
        <v>2333</v>
      </c>
      <c r="B2547" s="1">
        <v>14499</v>
      </c>
      <c r="C2547" t="s">
        <v>2314</v>
      </c>
      <c r="D2547" t="s">
        <v>2251</v>
      </c>
    </row>
    <row r="2548" spans="1:4" x14ac:dyDescent="0.25">
      <c r="A2548" s="2" t="s">
        <v>2334</v>
      </c>
      <c r="B2548" s="1">
        <v>14480</v>
      </c>
      <c r="C2548" t="s">
        <v>2314</v>
      </c>
      <c r="D2548" t="s">
        <v>2251</v>
      </c>
    </row>
    <row r="2549" spans="1:4" x14ac:dyDescent="0.25">
      <c r="A2549" s="2" t="s">
        <v>2335</v>
      </c>
      <c r="B2549" s="1">
        <v>14480</v>
      </c>
      <c r="C2549" t="s">
        <v>2314</v>
      </c>
      <c r="D2549" t="s">
        <v>2251</v>
      </c>
    </row>
    <row r="2550" spans="1:4" x14ac:dyDescent="0.25">
      <c r="A2550" s="2" t="s">
        <v>2336</v>
      </c>
      <c r="B2550" s="1">
        <v>14480</v>
      </c>
      <c r="C2550" t="s">
        <v>2314</v>
      </c>
      <c r="D2550" t="s">
        <v>2251</v>
      </c>
    </row>
    <row r="2551" spans="1:4" x14ac:dyDescent="0.25">
      <c r="A2551" s="2" t="s">
        <v>2337</v>
      </c>
      <c r="B2551" s="1">
        <v>14480</v>
      </c>
      <c r="C2551" t="s">
        <v>2314</v>
      </c>
      <c r="D2551" t="s">
        <v>2251</v>
      </c>
    </row>
    <row r="2552" spans="1:4" x14ac:dyDescent="0.25">
      <c r="A2552" s="2" t="s">
        <v>2338</v>
      </c>
      <c r="B2552" s="1">
        <v>14480</v>
      </c>
      <c r="C2552" t="s">
        <v>2314</v>
      </c>
      <c r="D2552" t="s">
        <v>2251</v>
      </c>
    </row>
    <row r="2553" spans="1:4" x14ac:dyDescent="0.25">
      <c r="A2553" s="2" t="s">
        <v>2339</v>
      </c>
      <c r="B2553" s="1">
        <v>14602</v>
      </c>
      <c r="C2553" t="s">
        <v>2314</v>
      </c>
      <c r="D2553" t="s">
        <v>2251</v>
      </c>
    </row>
    <row r="2554" spans="1:4" x14ac:dyDescent="0.25">
      <c r="A2554" s="2" t="s">
        <v>2340</v>
      </c>
      <c r="B2554" s="1">
        <v>14563</v>
      </c>
      <c r="C2554" t="s">
        <v>2314</v>
      </c>
      <c r="D2554" t="s">
        <v>2251</v>
      </c>
    </row>
    <row r="2555" spans="1:4" x14ac:dyDescent="0.25">
      <c r="A2555" s="2" t="s">
        <v>2341</v>
      </c>
      <c r="B2555" s="1">
        <v>14542</v>
      </c>
      <c r="C2555" t="s">
        <v>2314</v>
      </c>
      <c r="D2555" t="s">
        <v>2251</v>
      </c>
    </row>
    <row r="2556" spans="1:4" x14ac:dyDescent="0.25">
      <c r="A2556" s="2" t="s">
        <v>2342</v>
      </c>
      <c r="B2556" s="1">
        <v>14542</v>
      </c>
      <c r="C2556" t="s">
        <v>2314</v>
      </c>
      <c r="D2556" t="s">
        <v>2251</v>
      </c>
    </row>
    <row r="2557" spans="1:4" x14ac:dyDescent="0.25">
      <c r="A2557" s="2" t="s">
        <v>2343</v>
      </c>
      <c r="B2557" s="1">
        <v>14542</v>
      </c>
      <c r="C2557" t="s">
        <v>2314</v>
      </c>
      <c r="D2557" t="s">
        <v>2251</v>
      </c>
    </row>
    <row r="2558" spans="1:4" x14ac:dyDescent="0.25">
      <c r="A2558" s="2" t="s">
        <v>2344</v>
      </c>
      <c r="B2558" s="1">
        <v>14481</v>
      </c>
      <c r="C2558" t="s">
        <v>2314</v>
      </c>
      <c r="D2558" t="s">
        <v>2251</v>
      </c>
    </row>
    <row r="2559" spans="1:4" x14ac:dyDescent="0.25">
      <c r="A2559" s="2" t="s">
        <v>2345</v>
      </c>
      <c r="B2559" s="1">
        <v>14481</v>
      </c>
      <c r="C2559" t="s">
        <v>2346</v>
      </c>
      <c r="D2559" t="s">
        <v>2347</v>
      </c>
    </row>
    <row r="2560" spans="1:4" x14ac:dyDescent="0.25">
      <c r="A2560" s="2" t="s">
        <v>2348</v>
      </c>
      <c r="B2560" s="1">
        <v>14465</v>
      </c>
      <c r="C2560" t="s">
        <v>2346</v>
      </c>
      <c r="D2560" t="s">
        <v>2347</v>
      </c>
    </row>
    <row r="2561" spans="1:4" x14ac:dyDescent="0.25">
      <c r="A2561" s="2" t="s">
        <v>2349</v>
      </c>
      <c r="B2561" s="1">
        <v>14474</v>
      </c>
      <c r="C2561" t="s">
        <v>2346</v>
      </c>
      <c r="D2561" t="s">
        <v>2347</v>
      </c>
    </row>
    <row r="2562" spans="1:4" x14ac:dyDescent="0.25">
      <c r="A2562" s="2" t="s">
        <v>2350</v>
      </c>
      <c r="B2562" s="1">
        <v>14350</v>
      </c>
      <c r="C2562" t="s">
        <v>2346</v>
      </c>
      <c r="D2562" t="s">
        <v>2347</v>
      </c>
    </row>
    <row r="2563" spans="1:4" x14ac:dyDescent="0.25">
      <c r="A2563" s="2" t="s">
        <v>2351</v>
      </c>
      <c r="B2563" s="1">
        <v>14350</v>
      </c>
      <c r="C2563" t="s">
        <v>2346</v>
      </c>
      <c r="D2563" t="s">
        <v>2347</v>
      </c>
    </row>
    <row r="2564" spans="1:4" x14ac:dyDescent="0.25">
      <c r="A2564" s="2" t="s">
        <v>2352</v>
      </c>
      <c r="B2564" s="1">
        <v>14350</v>
      </c>
      <c r="C2564" t="s">
        <v>2346</v>
      </c>
      <c r="D2564" t="s">
        <v>2347</v>
      </c>
    </row>
    <row r="2565" spans="1:4" x14ac:dyDescent="0.25">
      <c r="A2565" s="2" t="s">
        <v>2353</v>
      </c>
      <c r="B2565" s="1">
        <v>14105</v>
      </c>
      <c r="C2565" t="s">
        <v>2346</v>
      </c>
      <c r="D2565" t="s">
        <v>2347</v>
      </c>
    </row>
    <row r="2566" spans="1:4" x14ac:dyDescent="0.25">
      <c r="A2566" s="2" t="s">
        <v>2354</v>
      </c>
      <c r="B2566" s="1">
        <v>14031</v>
      </c>
      <c r="C2566" t="s">
        <v>2346</v>
      </c>
      <c r="D2566" t="s">
        <v>2347</v>
      </c>
    </row>
    <row r="2567" spans="1:4" x14ac:dyDescent="0.25">
      <c r="A2567" s="2" t="s">
        <v>2355</v>
      </c>
      <c r="B2567" s="1">
        <v>14120</v>
      </c>
      <c r="C2567" t="s">
        <v>2346</v>
      </c>
      <c r="D2567" t="s">
        <v>2347</v>
      </c>
    </row>
    <row r="2568" spans="1:4" x14ac:dyDescent="0.25">
      <c r="A2568" s="2" t="s">
        <v>2356</v>
      </c>
      <c r="B2568" s="1">
        <v>14093</v>
      </c>
      <c r="C2568" t="s">
        <v>2346</v>
      </c>
      <c r="D2568" t="s">
        <v>2347</v>
      </c>
    </row>
    <row r="2569" spans="1:4" x14ac:dyDescent="0.25">
      <c r="A2569" s="2" t="s">
        <v>2357</v>
      </c>
      <c r="B2569" s="1">
        <v>14076</v>
      </c>
      <c r="C2569" t="s">
        <v>2346</v>
      </c>
      <c r="D2569" t="s">
        <v>2347</v>
      </c>
    </row>
    <row r="2570" spans="1:4" x14ac:dyDescent="0.25">
      <c r="A2570" s="2" t="s">
        <v>2358</v>
      </c>
      <c r="B2570" s="1">
        <v>14076</v>
      </c>
      <c r="C2570" t="s">
        <v>2346</v>
      </c>
      <c r="D2570" t="s">
        <v>2347</v>
      </c>
    </row>
    <row r="2571" spans="1:4" x14ac:dyDescent="0.25">
      <c r="A2571" s="2" t="s">
        <v>2359</v>
      </c>
      <c r="B2571" s="1">
        <v>14076</v>
      </c>
      <c r="C2571" t="s">
        <v>2346</v>
      </c>
      <c r="D2571" t="s">
        <v>2347</v>
      </c>
    </row>
    <row r="2572" spans="1:4" x14ac:dyDescent="0.25">
      <c r="A2572" s="2" t="s">
        <v>2360</v>
      </c>
      <c r="B2572" s="1">
        <v>14052</v>
      </c>
      <c r="C2572" t="s">
        <v>2346</v>
      </c>
      <c r="D2572" t="s">
        <v>2347</v>
      </c>
    </row>
    <row r="2573" spans="1:4" x14ac:dyDescent="0.25">
      <c r="A2573" s="2" t="s">
        <v>2361</v>
      </c>
      <c r="B2573" s="1">
        <v>14084</v>
      </c>
      <c r="C2573" t="s">
        <v>2346</v>
      </c>
      <c r="D2573" t="s">
        <v>2347</v>
      </c>
    </row>
    <row r="2574" spans="1:4" x14ac:dyDescent="0.25">
      <c r="A2574" s="2" t="s">
        <v>2362</v>
      </c>
      <c r="B2574" s="1">
        <v>14154</v>
      </c>
      <c r="C2574" t="s">
        <v>2346</v>
      </c>
      <c r="D2574" t="s">
        <v>2347</v>
      </c>
    </row>
    <row r="2575" spans="1:4" x14ac:dyDescent="0.25">
      <c r="A2575" s="2" t="s">
        <v>2363</v>
      </c>
      <c r="B2575" s="1">
        <v>14158</v>
      </c>
      <c r="C2575" t="s">
        <v>2346</v>
      </c>
      <c r="D2575" t="s">
        <v>2347</v>
      </c>
    </row>
    <row r="2576" spans="1:4" x14ac:dyDescent="0.25">
      <c r="A2576" s="2" t="s">
        <v>2364</v>
      </c>
      <c r="B2576" s="1">
        <v>14182</v>
      </c>
      <c r="C2576" t="s">
        <v>2346</v>
      </c>
      <c r="D2576" t="s">
        <v>2347</v>
      </c>
    </row>
    <row r="2577" spans="1:4" x14ac:dyDescent="0.25">
      <c r="A2577" s="2" t="s">
        <v>2365</v>
      </c>
      <c r="B2577" s="1">
        <v>14182</v>
      </c>
      <c r="C2577" t="s">
        <v>2346</v>
      </c>
      <c r="D2577" t="s">
        <v>2347</v>
      </c>
    </row>
    <row r="2578" spans="1:4" x14ac:dyDescent="0.25">
      <c r="A2578" s="2" t="s">
        <v>2366</v>
      </c>
      <c r="B2578" s="1">
        <v>14182</v>
      </c>
      <c r="C2578" t="s">
        <v>2346</v>
      </c>
      <c r="D2578" t="s">
        <v>2347</v>
      </c>
    </row>
    <row r="2579" spans="1:4" x14ac:dyDescent="0.25">
      <c r="A2579" s="2" t="s">
        <v>2367</v>
      </c>
      <c r="B2579" s="1">
        <v>14212</v>
      </c>
      <c r="C2579" t="s">
        <v>2346</v>
      </c>
      <c r="D2579" t="s">
        <v>2347</v>
      </c>
    </row>
    <row r="2580" spans="1:4" x14ac:dyDescent="0.25">
      <c r="A2580" s="2" t="s">
        <v>2368</v>
      </c>
      <c r="B2580" s="1">
        <v>14221</v>
      </c>
      <c r="C2580" t="s">
        <v>2346</v>
      </c>
      <c r="D2580" t="s">
        <v>2347</v>
      </c>
    </row>
    <row r="2581" spans="1:4" x14ac:dyDescent="0.25">
      <c r="A2581" s="2" t="s">
        <v>2369</v>
      </c>
      <c r="B2581" s="1">
        <v>14188</v>
      </c>
      <c r="C2581" t="s">
        <v>2346</v>
      </c>
      <c r="D2581" t="s">
        <v>2347</v>
      </c>
    </row>
    <row r="2582" spans="1:4" x14ac:dyDescent="0.25">
      <c r="A2582" s="2" t="s">
        <v>2370</v>
      </c>
      <c r="B2582" s="1">
        <v>14141</v>
      </c>
      <c r="C2582" t="s">
        <v>2346</v>
      </c>
      <c r="D2582" t="s">
        <v>2347</v>
      </c>
    </row>
    <row r="2583" spans="1:4" x14ac:dyDescent="0.25">
      <c r="A2583" s="2" t="s">
        <v>2371</v>
      </c>
      <c r="B2583" s="1">
        <v>14163</v>
      </c>
      <c r="C2583" t="s">
        <v>2346</v>
      </c>
      <c r="D2583" t="s">
        <v>2347</v>
      </c>
    </row>
    <row r="2584" spans="1:4" x14ac:dyDescent="0.25">
      <c r="A2584" s="2" t="s">
        <v>2372</v>
      </c>
      <c r="B2584" s="1">
        <v>14163</v>
      </c>
      <c r="C2584" t="s">
        <v>2346</v>
      </c>
      <c r="D2584" t="s">
        <v>2347</v>
      </c>
    </row>
    <row r="2585" spans="1:4" x14ac:dyDescent="0.25">
      <c r="A2585" s="2" t="s">
        <v>2373</v>
      </c>
      <c r="B2585" s="1">
        <v>14163</v>
      </c>
      <c r="C2585" t="s">
        <v>2346</v>
      </c>
      <c r="D2585" t="s">
        <v>2347</v>
      </c>
    </row>
    <row r="2586" spans="1:4" x14ac:dyDescent="0.25">
      <c r="A2586" s="2" t="s">
        <v>2374</v>
      </c>
      <c r="B2586" s="1">
        <v>14038</v>
      </c>
      <c r="C2586" t="s">
        <v>2346</v>
      </c>
      <c r="D2586" t="s">
        <v>2347</v>
      </c>
    </row>
    <row r="2587" spans="1:4" x14ac:dyDescent="0.25">
      <c r="A2587" s="2" t="s">
        <v>2375</v>
      </c>
      <c r="B2587" s="1">
        <v>14098</v>
      </c>
      <c r="C2587" t="s">
        <v>2346</v>
      </c>
      <c r="D2587" t="s">
        <v>2347</v>
      </c>
    </row>
    <row r="2588" spans="1:4" x14ac:dyDescent="0.25">
      <c r="A2588" s="2" t="s">
        <v>2376</v>
      </c>
      <c r="B2588" s="1">
        <v>14112</v>
      </c>
      <c r="C2588" t="s">
        <v>2346</v>
      </c>
      <c r="D2588" t="s">
        <v>2347</v>
      </c>
    </row>
    <row r="2589" spans="1:4" x14ac:dyDescent="0.25">
      <c r="A2589" s="2" t="s">
        <v>2377</v>
      </c>
      <c r="B2589" s="1">
        <v>14072</v>
      </c>
      <c r="C2589" t="s">
        <v>2346</v>
      </c>
      <c r="D2589" t="s">
        <v>2347</v>
      </c>
    </row>
    <row r="2590" spans="1:4" x14ac:dyDescent="0.25">
      <c r="A2590" s="2" t="s">
        <v>2378</v>
      </c>
      <c r="B2590" s="1">
        <v>13978</v>
      </c>
      <c r="C2590" t="s">
        <v>2379</v>
      </c>
      <c r="D2590" t="s">
        <v>2347</v>
      </c>
    </row>
    <row r="2591" spans="1:4" x14ac:dyDescent="0.25">
      <c r="A2591" s="2" t="s">
        <v>2380</v>
      </c>
      <c r="B2591" s="1">
        <v>13978</v>
      </c>
      <c r="C2591" t="s">
        <v>2379</v>
      </c>
      <c r="D2591" t="s">
        <v>2347</v>
      </c>
    </row>
    <row r="2592" spans="1:4" x14ac:dyDescent="0.25">
      <c r="A2592" s="2" t="s">
        <v>2381</v>
      </c>
      <c r="B2592" s="1">
        <v>13978</v>
      </c>
      <c r="C2592" t="s">
        <v>2379</v>
      </c>
      <c r="D2592" t="s">
        <v>2347</v>
      </c>
    </row>
    <row r="2593" spans="1:4" x14ac:dyDescent="0.25">
      <c r="A2593" s="2" t="s">
        <v>2382</v>
      </c>
      <c r="B2593" s="1">
        <v>13976</v>
      </c>
      <c r="C2593" t="s">
        <v>2379</v>
      </c>
      <c r="D2593" t="s">
        <v>2347</v>
      </c>
    </row>
    <row r="2594" spans="1:4" x14ac:dyDescent="0.25">
      <c r="A2594" s="2" t="s">
        <v>2383</v>
      </c>
      <c r="B2594" s="1">
        <v>13976</v>
      </c>
      <c r="C2594" t="s">
        <v>2379</v>
      </c>
      <c r="D2594" t="s">
        <v>2347</v>
      </c>
    </row>
    <row r="2595" spans="1:4" x14ac:dyDescent="0.25">
      <c r="A2595" s="2" t="s">
        <v>2384</v>
      </c>
      <c r="B2595" s="1">
        <v>13947</v>
      </c>
      <c r="C2595" t="s">
        <v>2379</v>
      </c>
      <c r="D2595" t="s">
        <v>2347</v>
      </c>
    </row>
    <row r="2596" spans="1:4" x14ac:dyDescent="0.25">
      <c r="A2596" s="2" t="s">
        <v>2385</v>
      </c>
      <c r="B2596" s="1">
        <v>13978</v>
      </c>
      <c r="C2596" t="s">
        <v>2379</v>
      </c>
      <c r="D2596" t="s">
        <v>2347</v>
      </c>
    </row>
    <row r="2597" spans="1:4" x14ac:dyDescent="0.25">
      <c r="A2597" s="2" t="s">
        <v>2386</v>
      </c>
      <c r="B2597" s="1">
        <v>13992</v>
      </c>
      <c r="C2597" t="s">
        <v>2379</v>
      </c>
      <c r="D2597" t="s">
        <v>2347</v>
      </c>
    </row>
    <row r="2598" spans="1:4" x14ac:dyDescent="0.25">
      <c r="A2598" s="2" t="s">
        <v>2387</v>
      </c>
      <c r="B2598" s="1">
        <v>13992</v>
      </c>
      <c r="C2598" t="s">
        <v>2379</v>
      </c>
      <c r="D2598" t="s">
        <v>2347</v>
      </c>
    </row>
    <row r="2599" spans="1:4" x14ac:dyDescent="0.25">
      <c r="A2599" s="2" t="s">
        <v>2388</v>
      </c>
      <c r="B2599" s="1">
        <v>13992</v>
      </c>
      <c r="C2599" t="s">
        <v>2379</v>
      </c>
      <c r="D2599" t="s">
        <v>2347</v>
      </c>
    </row>
    <row r="2600" spans="1:4" x14ac:dyDescent="0.25">
      <c r="A2600" s="2" t="s">
        <v>2389</v>
      </c>
      <c r="B2600" s="1">
        <v>13995</v>
      </c>
      <c r="C2600" t="s">
        <v>2379</v>
      </c>
      <c r="D2600" t="s">
        <v>2347</v>
      </c>
    </row>
    <row r="2601" spans="1:4" x14ac:dyDescent="0.25">
      <c r="A2601" s="2" t="s">
        <v>2390</v>
      </c>
      <c r="B2601" s="1">
        <v>14088</v>
      </c>
      <c r="C2601" t="s">
        <v>2379</v>
      </c>
      <c r="D2601" t="s">
        <v>2347</v>
      </c>
    </row>
    <row r="2602" spans="1:4" x14ac:dyDescent="0.25">
      <c r="A2602" s="2" t="s">
        <v>2391</v>
      </c>
      <c r="B2602" s="1">
        <v>14027</v>
      </c>
      <c r="C2602" t="s">
        <v>2379</v>
      </c>
      <c r="D2602" t="s">
        <v>2347</v>
      </c>
    </row>
    <row r="2603" spans="1:4" x14ac:dyDescent="0.25">
      <c r="A2603" s="2" t="s">
        <v>2392</v>
      </c>
      <c r="B2603" s="1">
        <v>14093</v>
      </c>
      <c r="C2603" t="s">
        <v>2379</v>
      </c>
      <c r="D2603" t="s">
        <v>2347</v>
      </c>
    </row>
    <row r="2604" spans="1:4" x14ac:dyDescent="0.25">
      <c r="A2604" s="2" t="s">
        <v>2393</v>
      </c>
      <c r="B2604" s="1">
        <v>14116</v>
      </c>
      <c r="C2604" t="s">
        <v>2379</v>
      </c>
      <c r="D2604" t="s">
        <v>2347</v>
      </c>
    </row>
    <row r="2605" spans="1:4" x14ac:dyDescent="0.25">
      <c r="A2605" s="2" t="s">
        <v>2394</v>
      </c>
      <c r="B2605" s="1">
        <v>14116</v>
      </c>
      <c r="C2605" t="s">
        <v>2379</v>
      </c>
      <c r="D2605" t="s">
        <v>2347</v>
      </c>
    </row>
    <row r="2606" spans="1:4" x14ac:dyDescent="0.25">
      <c r="A2606" s="2" t="s">
        <v>2395</v>
      </c>
      <c r="B2606" s="1">
        <v>14116</v>
      </c>
      <c r="C2606" t="s">
        <v>2379</v>
      </c>
      <c r="D2606" t="s">
        <v>2347</v>
      </c>
    </row>
    <row r="2607" spans="1:4" x14ac:dyDescent="0.25">
      <c r="A2607" s="2" t="s">
        <v>2396</v>
      </c>
      <c r="B2607" s="1">
        <v>14106</v>
      </c>
      <c r="C2607" t="s">
        <v>2379</v>
      </c>
      <c r="D2607" t="s">
        <v>2347</v>
      </c>
    </row>
    <row r="2608" spans="1:4" x14ac:dyDescent="0.25">
      <c r="A2608" s="2" t="s">
        <v>2397</v>
      </c>
      <c r="B2608" s="1">
        <v>14119</v>
      </c>
      <c r="C2608" t="s">
        <v>2379</v>
      </c>
      <c r="D2608" t="s">
        <v>2347</v>
      </c>
    </row>
    <row r="2609" spans="1:4" x14ac:dyDescent="0.25">
      <c r="A2609" s="2" t="s">
        <v>2398</v>
      </c>
      <c r="B2609" s="1">
        <v>14055</v>
      </c>
      <c r="C2609" t="s">
        <v>2379</v>
      </c>
      <c r="D2609" t="s">
        <v>2347</v>
      </c>
    </row>
    <row r="2610" spans="1:4" x14ac:dyDescent="0.25">
      <c r="A2610" s="2" t="s">
        <v>2399</v>
      </c>
      <c r="B2610" s="1">
        <v>14057</v>
      </c>
      <c r="C2610" t="s">
        <v>2379</v>
      </c>
      <c r="D2610" t="s">
        <v>2347</v>
      </c>
    </row>
    <row r="2611" spans="1:4" x14ac:dyDescent="0.25">
      <c r="A2611" s="2" t="s">
        <v>2400</v>
      </c>
      <c r="B2611" s="1">
        <v>14079</v>
      </c>
      <c r="C2611" t="s">
        <v>2379</v>
      </c>
      <c r="D2611" t="s">
        <v>2347</v>
      </c>
    </row>
    <row r="2612" spans="1:4" x14ac:dyDescent="0.25">
      <c r="A2612" s="2" t="s">
        <v>2401</v>
      </c>
      <c r="B2612" s="1">
        <v>14079</v>
      </c>
      <c r="C2612" t="s">
        <v>2379</v>
      </c>
      <c r="D2612" t="s">
        <v>2347</v>
      </c>
    </row>
    <row r="2613" spans="1:4" x14ac:dyDescent="0.25">
      <c r="A2613" s="2" t="s">
        <v>2402</v>
      </c>
      <c r="B2613" s="1">
        <v>14079</v>
      </c>
      <c r="C2613" t="s">
        <v>2379</v>
      </c>
      <c r="D2613" t="s">
        <v>2347</v>
      </c>
    </row>
    <row r="2614" spans="1:4" x14ac:dyDescent="0.25">
      <c r="A2614" s="2" t="s">
        <v>2403</v>
      </c>
      <c r="B2614" s="1">
        <v>14007</v>
      </c>
      <c r="C2614" t="s">
        <v>2379</v>
      </c>
      <c r="D2614" t="s">
        <v>2347</v>
      </c>
    </row>
    <row r="2615" spans="1:4" x14ac:dyDescent="0.25">
      <c r="A2615" s="2" t="s">
        <v>2404</v>
      </c>
      <c r="B2615" s="1">
        <v>13990</v>
      </c>
      <c r="C2615" t="s">
        <v>2379</v>
      </c>
      <c r="D2615" t="s">
        <v>2347</v>
      </c>
    </row>
    <row r="2616" spans="1:4" x14ac:dyDescent="0.25">
      <c r="A2616" s="2" t="s">
        <v>2405</v>
      </c>
      <c r="B2616" s="1">
        <v>14004</v>
      </c>
      <c r="C2616" t="s">
        <v>2379</v>
      </c>
      <c r="D2616" t="s">
        <v>2347</v>
      </c>
    </row>
    <row r="2617" spans="1:4" x14ac:dyDescent="0.25">
      <c r="A2617" s="2" t="s">
        <v>2406</v>
      </c>
      <c r="B2617" s="1">
        <v>14062</v>
      </c>
      <c r="C2617" t="s">
        <v>2379</v>
      </c>
      <c r="D2617" t="s">
        <v>2347</v>
      </c>
    </row>
    <row r="2618" spans="1:4" x14ac:dyDescent="0.25">
      <c r="A2618" s="2" t="s">
        <v>2407</v>
      </c>
      <c r="B2618" s="1">
        <v>14111</v>
      </c>
      <c r="C2618" t="s">
        <v>2408</v>
      </c>
      <c r="D2618" t="s">
        <v>2347</v>
      </c>
    </row>
    <row r="2619" spans="1:4" x14ac:dyDescent="0.25">
      <c r="A2619" s="2" t="s">
        <v>2409</v>
      </c>
      <c r="B2619" s="1">
        <v>14111</v>
      </c>
      <c r="C2619" t="s">
        <v>2408</v>
      </c>
      <c r="D2619" t="s">
        <v>2347</v>
      </c>
    </row>
    <row r="2620" spans="1:4" x14ac:dyDescent="0.25">
      <c r="A2620" s="2" t="s">
        <v>2410</v>
      </c>
      <c r="B2620" s="1">
        <v>14111</v>
      </c>
      <c r="C2620" t="s">
        <v>2408</v>
      </c>
      <c r="D2620" t="s">
        <v>2347</v>
      </c>
    </row>
    <row r="2621" spans="1:4" x14ac:dyDescent="0.25">
      <c r="A2621" s="2" t="s">
        <v>2411</v>
      </c>
      <c r="B2621" s="1">
        <v>14149</v>
      </c>
      <c r="C2621" t="s">
        <v>2408</v>
      </c>
      <c r="D2621" t="s">
        <v>2347</v>
      </c>
    </row>
    <row r="2622" spans="1:4" x14ac:dyDescent="0.25">
      <c r="A2622" s="2" t="s">
        <v>2412</v>
      </c>
      <c r="B2622" s="1">
        <v>14146</v>
      </c>
      <c r="C2622" t="s">
        <v>2408</v>
      </c>
      <c r="D2622" t="s">
        <v>2347</v>
      </c>
    </row>
    <row r="2623" spans="1:4" x14ac:dyDescent="0.25">
      <c r="A2623" s="2" t="s">
        <v>2413</v>
      </c>
      <c r="B2623" s="1">
        <v>14129</v>
      </c>
      <c r="C2623" t="s">
        <v>2408</v>
      </c>
      <c r="D2623" t="s">
        <v>2347</v>
      </c>
    </row>
    <row r="2624" spans="1:4" x14ac:dyDescent="0.25">
      <c r="A2624" s="2" t="s">
        <v>2414</v>
      </c>
      <c r="B2624" s="1">
        <v>14129</v>
      </c>
      <c r="C2624" t="s">
        <v>2408</v>
      </c>
      <c r="D2624" t="s">
        <v>2347</v>
      </c>
    </row>
    <row r="2625" spans="1:4" x14ac:dyDescent="0.25">
      <c r="A2625" s="2" t="s">
        <v>2415</v>
      </c>
      <c r="B2625" s="1">
        <v>14223</v>
      </c>
      <c r="C2625" t="s">
        <v>2408</v>
      </c>
      <c r="D2625" t="s">
        <v>2347</v>
      </c>
    </row>
    <row r="2626" spans="1:4" x14ac:dyDescent="0.25">
      <c r="A2626" s="2" t="s">
        <v>2416</v>
      </c>
      <c r="B2626" s="1">
        <v>14223</v>
      </c>
      <c r="C2626" t="s">
        <v>2408</v>
      </c>
      <c r="D2626" t="s">
        <v>2347</v>
      </c>
    </row>
    <row r="2627" spans="1:4" x14ac:dyDescent="0.25">
      <c r="A2627" s="2" t="s">
        <v>2417</v>
      </c>
      <c r="B2627" s="1">
        <v>14223</v>
      </c>
      <c r="C2627" t="s">
        <v>2408</v>
      </c>
      <c r="D2627" t="s">
        <v>2347</v>
      </c>
    </row>
    <row r="2628" spans="1:4" x14ac:dyDescent="0.25">
      <c r="A2628" s="2" t="s">
        <v>2418</v>
      </c>
      <c r="B2628" s="1">
        <v>14324</v>
      </c>
      <c r="C2628" t="s">
        <v>2408</v>
      </c>
      <c r="D2628" t="s">
        <v>2347</v>
      </c>
    </row>
    <row r="2629" spans="1:4" x14ac:dyDescent="0.25">
      <c r="A2629" s="2" t="s">
        <v>2419</v>
      </c>
      <c r="B2629" s="1">
        <v>14251</v>
      </c>
      <c r="C2629" t="s">
        <v>2408</v>
      </c>
      <c r="D2629" t="s">
        <v>2347</v>
      </c>
    </row>
    <row r="2630" spans="1:4" x14ac:dyDescent="0.25">
      <c r="A2630" s="2" t="s">
        <v>2420</v>
      </c>
      <c r="B2630" s="1">
        <v>14269</v>
      </c>
      <c r="C2630" t="s">
        <v>2408</v>
      </c>
      <c r="D2630" t="s">
        <v>2347</v>
      </c>
    </row>
    <row r="2631" spans="1:4" x14ac:dyDescent="0.25">
      <c r="A2631" s="2" t="s">
        <v>2421</v>
      </c>
      <c r="B2631" s="1">
        <v>14253</v>
      </c>
      <c r="C2631" t="s">
        <v>2408</v>
      </c>
      <c r="D2631" t="s">
        <v>2347</v>
      </c>
    </row>
    <row r="2632" spans="1:4" x14ac:dyDescent="0.25">
      <c r="A2632" s="2" t="s">
        <v>2422</v>
      </c>
      <c r="B2632" s="1">
        <v>14310</v>
      </c>
      <c r="C2632" t="s">
        <v>2408</v>
      </c>
      <c r="D2632" t="s">
        <v>2347</v>
      </c>
    </row>
    <row r="2633" spans="1:4" x14ac:dyDescent="0.25">
      <c r="A2633" s="2" t="s">
        <v>2423</v>
      </c>
      <c r="B2633" s="1">
        <v>14310</v>
      </c>
      <c r="C2633" t="s">
        <v>2408</v>
      </c>
      <c r="D2633" t="s">
        <v>2347</v>
      </c>
    </row>
    <row r="2634" spans="1:4" x14ac:dyDescent="0.25">
      <c r="A2634" s="2" t="s">
        <v>2424</v>
      </c>
      <c r="B2634" s="1">
        <v>14310</v>
      </c>
      <c r="C2634" t="s">
        <v>2408</v>
      </c>
      <c r="D2634" t="s">
        <v>2347</v>
      </c>
    </row>
    <row r="2635" spans="1:4" x14ac:dyDescent="0.25">
      <c r="A2635" s="2" t="s">
        <v>2425</v>
      </c>
      <c r="B2635" s="1">
        <v>14242</v>
      </c>
      <c r="C2635" t="s">
        <v>2408</v>
      </c>
      <c r="D2635" t="s">
        <v>2347</v>
      </c>
    </row>
    <row r="2636" spans="1:4" x14ac:dyDescent="0.25">
      <c r="A2636" s="2" t="s">
        <v>2426</v>
      </c>
      <c r="B2636" s="1">
        <v>14228</v>
      </c>
      <c r="C2636" t="s">
        <v>2408</v>
      </c>
      <c r="D2636" t="s">
        <v>2347</v>
      </c>
    </row>
    <row r="2637" spans="1:4" x14ac:dyDescent="0.25">
      <c r="A2637" s="2" t="s">
        <v>2427</v>
      </c>
      <c r="B2637" s="1">
        <v>14231</v>
      </c>
      <c r="C2637" t="s">
        <v>2408</v>
      </c>
      <c r="D2637" t="s">
        <v>2347</v>
      </c>
    </row>
    <row r="2638" spans="1:4" x14ac:dyDescent="0.25">
      <c r="A2638" s="2" t="s">
        <v>2428</v>
      </c>
      <c r="B2638" s="1">
        <v>14102</v>
      </c>
      <c r="C2638" t="s">
        <v>2408</v>
      </c>
      <c r="D2638" t="s">
        <v>2347</v>
      </c>
    </row>
    <row r="2639" spans="1:4" x14ac:dyDescent="0.25">
      <c r="A2639" s="2" t="s">
        <v>2429</v>
      </c>
      <c r="B2639" s="1">
        <v>14157</v>
      </c>
      <c r="C2639" t="s">
        <v>2408</v>
      </c>
      <c r="D2639" t="s">
        <v>2347</v>
      </c>
    </row>
    <row r="2640" spans="1:4" x14ac:dyDescent="0.25">
      <c r="A2640" s="2" t="s">
        <v>2430</v>
      </c>
      <c r="B2640" s="1">
        <v>14157</v>
      </c>
      <c r="C2640" t="s">
        <v>2408</v>
      </c>
      <c r="D2640" t="s">
        <v>2347</v>
      </c>
    </row>
    <row r="2641" spans="1:4" x14ac:dyDescent="0.25">
      <c r="A2641" s="2" t="s">
        <v>2431</v>
      </c>
      <c r="B2641" s="1">
        <v>14157</v>
      </c>
      <c r="C2641" t="s">
        <v>2408</v>
      </c>
      <c r="D2641" t="s">
        <v>2347</v>
      </c>
    </row>
    <row r="2642" spans="1:4" x14ac:dyDescent="0.25">
      <c r="A2642" s="2" t="s">
        <v>2432</v>
      </c>
      <c r="B2642" s="1">
        <v>14223</v>
      </c>
      <c r="C2642" t="s">
        <v>2408</v>
      </c>
      <c r="D2642" t="s">
        <v>2347</v>
      </c>
    </row>
    <row r="2643" spans="1:4" x14ac:dyDescent="0.25">
      <c r="A2643" s="2" t="s">
        <v>2433</v>
      </c>
      <c r="B2643" s="1">
        <v>14171</v>
      </c>
      <c r="C2643" t="s">
        <v>2408</v>
      </c>
      <c r="D2643" t="s">
        <v>2347</v>
      </c>
    </row>
    <row r="2644" spans="1:4" x14ac:dyDescent="0.25">
      <c r="A2644" s="2" t="s">
        <v>2434</v>
      </c>
      <c r="B2644" s="1">
        <v>14202</v>
      </c>
      <c r="C2644" t="s">
        <v>2408</v>
      </c>
      <c r="D2644" t="s">
        <v>2347</v>
      </c>
    </row>
    <row r="2645" spans="1:4" x14ac:dyDescent="0.25">
      <c r="A2645" s="2" t="s">
        <v>2435</v>
      </c>
      <c r="B2645" s="1">
        <v>14255</v>
      </c>
      <c r="C2645" t="s">
        <v>2408</v>
      </c>
      <c r="D2645" t="s">
        <v>2347</v>
      </c>
    </row>
    <row r="2646" spans="1:4" x14ac:dyDescent="0.25">
      <c r="A2646" s="2" t="s">
        <v>2436</v>
      </c>
      <c r="B2646" s="1">
        <v>14244</v>
      </c>
      <c r="C2646" t="s">
        <v>2408</v>
      </c>
      <c r="D2646" t="s">
        <v>2347</v>
      </c>
    </row>
    <row r="2647" spans="1:4" x14ac:dyDescent="0.25">
      <c r="A2647" s="2" t="s">
        <v>2437</v>
      </c>
      <c r="B2647" s="1">
        <v>14244</v>
      </c>
      <c r="C2647" t="s">
        <v>2408</v>
      </c>
      <c r="D2647" t="s">
        <v>2347</v>
      </c>
    </row>
    <row r="2648" spans="1:4" x14ac:dyDescent="0.25">
      <c r="A2648" s="2" t="s">
        <v>2438</v>
      </c>
      <c r="B2648" s="1">
        <v>14244</v>
      </c>
      <c r="C2648" t="s">
        <v>2408</v>
      </c>
      <c r="D2648" t="s">
        <v>2347</v>
      </c>
    </row>
    <row r="2649" spans="1:4" x14ac:dyDescent="0.25">
      <c r="A2649" s="2" t="s">
        <v>2439</v>
      </c>
      <c r="B2649" s="1">
        <v>14231</v>
      </c>
      <c r="C2649" t="s">
        <v>2440</v>
      </c>
      <c r="D2649" t="s">
        <v>2441</v>
      </c>
    </row>
    <row r="2650" spans="1:4" x14ac:dyDescent="0.25">
      <c r="A2650" s="2" t="s">
        <v>2442</v>
      </c>
      <c r="B2650" s="1">
        <v>14237</v>
      </c>
      <c r="C2650" t="s">
        <v>2440</v>
      </c>
      <c r="D2650" t="s">
        <v>2441</v>
      </c>
    </row>
    <row r="2651" spans="1:4" x14ac:dyDescent="0.25">
      <c r="A2651" s="2" t="s">
        <v>2443</v>
      </c>
      <c r="B2651" s="1">
        <v>14237</v>
      </c>
      <c r="C2651" t="s">
        <v>2440</v>
      </c>
      <c r="D2651" t="s">
        <v>2441</v>
      </c>
    </row>
    <row r="2652" spans="1:4" x14ac:dyDescent="0.25">
      <c r="A2652" s="2" t="s">
        <v>2444</v>
      </c>
      <c r="B2652" s="1">
        <v>14182</v>
      </c>
      <c r="C2652" t="s">
        <v>2440</v>
      </c>
      <c r="D2652" t="s">
        <v>2441</v>
      </c>
    </row>
    <row r="2653" spans="1:4" x14ac:dyDescent="0.25">
      <c r="A2653" s="2" t="s">
        <v>2445</v>
      </c>
      <c r="B2653" s="1">
        <v>14158</v>
      </c>
      <c r="C2653" t="s">
        <v>2440</v>
      </c>
      <c r="D2653" t="s">
        <v>2441</v>
      </c>
    </row>
    <row r="2654" spans="1:4" x14ac:dyDescent="0.25">
      <c r="A2654" s="2" t="s">
        <v>2446</v>
      </c>
      <c r="B2654" s="1">
        <v>14158</v>
      </c>
      <c r="C2654" t="s">
        <v>2440</v>
      </c>
      <c r="D2654" t="s">
        <v>2441</v>
      </c>
    </row>
    <row r="2655" spans="1:4" x14ac:dyDescent="0.25">
      <c r="A2655" s="2" t="s">
        <v>2447</v>
      </c>
      <c r="B2655" s="1">
        <v>14158</v>
      </c>
      <c r="C2655" t="s">
        <v>2440</v>
      </c>
      <c r="D2655" t="s">
        <v>2441</v>
      </c>
    </row>
    <row r="2656" spans="1:4" x14ac:dyDescent="0.25">
      <c r="A2656" s="2" t="s">
        <v>2448</v>
      </c>
      <c r="B2656" s="1">
        <v>14145</v>
      </c>
      <c r="C2656" t="s">
        <v>2440</v>
      </c>
      <c r="D2656" t="s">
        <v>2441</v>
      </c>
    </row>
    <row r="2657" spans="1:4" x14ac:dyDescent="0.25">
      <c r="A2657" s="2" t="s">
        <v>2449</v>
      </c>
      <c r="B2657" s="1">
        <v>14150</v>
      </c>
      <c r="C2657" t="s">
        <v>2440</v>
      </c>
      <c r="D2657" t="s">
        <v>2441</v>
      </c>
    </row>
    <row r="2658" spans="1:4" x14ac:dyDescent="0.25">
      <c r="A2658" s="2" t="s">
        <v>2450</v>
      </c>
      <c r="B2658" s="1">
        <v>14155</v>
      </c>
      <c r="C2658" t="s">
        <v>2440</v>
      </c>
      <c r="D2658" t="s">
        <v>2441</v>
      </c>
    </row>
    <row r="2659" spans="1:4" x14ac:dyDescent="0.25">
      <c r="A2659" s="2" t="s">
        <v>2451</v>
      </c>
      <c r="B2659" s="1">
        <v>14156</v>
      </c>
      <c r="C2659" t="s">
        <v>2440</v>
      </c>
      <c r="D2659" t="s">
        <v>2441</v>
      </c>
    </row>
    <row r="2660" spans="1:4" x14ac:dyDescent="0.25">
      <c r="A2660" s="2" t="s">
        <v>2452</v>
      </c>
      <c r="B2660" s="1">
        <v>14153</v>
      </c>
      <c r="C2660" t="s">
        <v>2440</v>
      </c>
      <c r="D2660" t="s">
        <v>2441</v>
      </c>
    </row>
    <row r="2661" spans="1:4" x14ac:dyDescent="0.25">
      <c r="A2661" s="2" t="s">
        <v>2453</v>
      </c>
      <c r="B2661" s="1">
        <v>14153</v>
      </c>
      <c r="C2661" t="s">
        <v>2440</v>
      </c>
      <c r="D2661" t="s">
        <v>2441</v>
      </c>
    </row>
    <row r="2662" spans="1:4" x14ac:dyDescent="0.25">
      <c r="A2662" s="2" t="s">
        <v>2454</v>
      </c>
      <c r="B2662" s="1">
        <v>14153</v>
      </c>
      <c r="C2662" t="s">
        <v>2440</v>
      </c>
      <c r="D2662" t="s">
        <v>2441</v>
      </c>
    </row>
    <row r="2663" spans="1:4" x14ac:dyDescent="0.25">
      <c r="A2663" s="2" t="s">
        <v>2455</v>
      </c>
      <c r="B2663" s="1">
        <v>14067</v>
      </c>
      <c r="C2663" t="s">
        <v>2440</v>
      </c>
      <c r="D2663" t="s">
        <v>2441</v>
      </c>
    </row>
    <row r="2664" spans="1:4" x14ac:dyDescent="0.25">
      <c r="A2664" s="2" t="s">
        <v>2456</v>
      </c>
      <c r="B2664" s="1">
        <v>14066</v>
      </c>
      <c r="C2664" t="s">
        <v>2440</v>
      </c>
      <c r="D2664" t="s">
        <v>2441</v>
      </c>
    </row>
    <row r="2665" spans="1:4" x14ac:dyDescent="0.25">
      <c r="A2665" s="2" t="s">
        <v>2457</v>
      </c>
      <c r="B2665" s="1">
        <v>14066</v>
      </c>
      <c r="C2665" t="s">
        <v>2440</v>
      </c>
      <c r="D2665" t="s">
        <v>2441</v>
      </c>
    </row>
    <row r="2666" spans="1:4" x14ac:dyDescent="0.25">
      <c r="A2666" s="2" t="s">
        <v>2458</v>
      </c>
      <c r="B2666" s="1">
        <v>14016</v>
      </c>
      <c r="C2666" t="s">
        <v>2440</v>
      </c>
      <c r="D2666" t="s">
        <v>2441</v>
      </c>
    </row>
    <row r="2667" spans="1:4" x14ac:dyDescent="0.25">
      <c r="A2667" s="2" t="s">
        <v>2459</v>
      </c>
      <c r="B2667" s="1">
        <v>14016</v>
      </c>
      <c r="C2667" t="s">
        <v>2440</v>
      </c>
      <c r="D2667" t="s">
        <v>2441</v>
      </c>
    </row>
    <row r="2668" spans="1:4" x14ac:dyDescent="0.25">
      <c r="A2668" s="2" t="s">
        <v>2460</v>
      </c>
      <c r="B2668" s="1">
        <v>14016</v>
      </c>
      <c r="C2668" t="s">
        <v>2440</v>
      </c>
      <c r="D2668" t="s">
        <v>2441</v>
      </c>
    </row>
    <row r="2669" spans="1:4" x14ac:dyDescent="0.25">
      <c r="A2669" s="2" t="s">
        <v>2461</v>
      </c>
      <c r="B2669" s="1">
        <v>14016</v>
      </c>
      <c r="C2669" t="s">
        <v>2440</v>
      </c>
      <c r="D2669" t="s">
        <v>2441</v>
      </c>
    </row>
    <row r="2670" spans="1:4" x14ac:dyDescent="0.25">
      <c r="A2670" s="2" t="s">
        <v>2462</v>
      </c>
      <c r="B2670" s="1">
        <v>14056</v>
      </c>
      <c r="C2670" t="s">
        <v>2440</v>
      </c>
      <c r="D2670" t="s">
        <v>2441</v>
      </c>
    </row>
    <row r="2671" spans="1:4" x14ac:dyDescent="0.25">
      <c r="A2671" s="2" t="s">
        <v>2463</v>
      </c>
      <c r="B2671" s="1">
        <v>14080</v>
      </c>
      <c r="C2671" t="s">
        <v>2440</v>
      </c>
      <c r="D2671" t="s">
        <v>2441</v>
      </c>
    </row>
    <row r="2672" spans="1:4" x14ac:dyDescent="0.25">
      <c r="A2672" s="2" t="s">
        <v>2464</v>
      </c>
      <c r="B2672" s="1">
        <v>14112</v>
      </c>
      <c r="C2672" t="s">
        <v>2440</v>
      </c>
      <c r="D2672" t="s">
        <v>2441</v>
      </c>
    </row>
    <row r="2673" spans="1:4" x14ac:dyDescent="0.25">
      <c r="A2673" s="2" t="s">
        <v>2465</v>
      </c>
      <c r="B2673" s="1">
        <v>14154</v>
      </c>
      <c r="C2673" t="s">
        <v>2440</v>
      </c>
      <c r="D2673" t="s">
        <v>2441</v>
      </c>
    </row>
    <row r="2674" spans="1:4" x14ac:dyDescent="0.25">
      <c r="A2674" s="2" t="s">
        <v>2466</v>
      </c>
      <c r="B2674" s="1">
        <v>14188</v>
      </c>
      <c r="C2674" t="s">
        <v>2440</v>
      </c>
      <c r="D2674" t="s">
        <v>2441</v>
      </c>
    </row>
    <row r="2675" spans="1:4" x14ac:dyDescent="0.25">
      <c r="A2675" s="2" t="s">
        <v>2467</v>
      </c>
      <c r="B2675" s="1">
        <v>14188</v>
      </c>
      <c r="C2675" t="s">
        <v>2440</v>
      </c>
      <c r="D2675" t="s">
        <v>2441</v>
      </c>
    </row>
    <row r="2676" spans="1:4" x14ac:dyDescent="0.25">
      <c r="A2676" s="2" t="s">
        <v>2468</v>
      </c>
      <c r="B2676" s="1">
        <v>14188</v>
      </c>
      <c r="C2676" t="s">
        <v>2440</v>
      </c>
      <c r="D2676" t="s">
        <v>2441</v>
      </c>
    </row>
    <row r="2677" spans="1:4" x14ac:dyDescent="0.25">
      <c r="A2677" s="2" t="s">
        <v>2469</v>
      </c>
      <c r="B2677" s="1">
        <v>14188</v>
      </c>
      <c r="C2677" t="s">
        <v>2440</v>
      </c>
      <c r="D2677" t="s">
        <v>2441</v>
      </c>
    </row>
    <row r="2678" spans="1:4" x14ac:dyDescent="0.25">
      <c r="A2678" s="2" t="s">
        <v>2470</v>
      </c>
      <c r="B2678" s="1">
        <v>14215</v>
      </c>
      <c r="C2678" t="s">
        <v>2440</v>
      </c>
      <c r="D2678" t="s">
        <v>2441</v>
      </c>
    </row>
    <row r="2679" spans="1:4" x14ac:dyDescent="0.25">
      <c r="A2679" s="2" t="s">
        <v>2471</v>
      </c>
      <c r="B2679" s="1">
        <v>14215</v>
      </c>
      <c r="C2679" t="s">
        <v>2472</v>
      </c>
      <c r="D2679" t="s">
        <v>2441</v>
      </c>
    </row>
    <row r="2680" spans="1:4" x14ac:dyDescent="0.25">
      <c r="A2680" s="2" t="s">
        <v>2473</v>
      </c>
      <c r="B2680" s="1">
        <v>14245</v>
      </c>
      <c r="C2680" t="s">
        <v>2472</v>
      </c>
      <c r="D2680" t="s">
        <v>2441</v>
      </c>
    </row>
    <row r="2681" spans="1:4" x14ac:dyDescent="0.25">
      <c r="A2681" s="2" t="s">
        <v>2474</v>
      </c>
      <c r="B2681" s="1">
        <v>14282</v>
      </c>
      <c r="C2681" t="s">
        <v>2472</v>
      </c>
      <c r="D2681" t="s">
        <v>2441</v>
      </c>
    </row>
    <row r="2682" spans="1:4" x14ac:dyDescent="0.25">
      <c r="A2682" s="2" t="s">
        <v>2475</v>
      </c>
      <c r="B2682" s="1">
        <v>14282</v>
      </c>
      <c r="C2682" t="s">
        <v>2472</v>
      </c>
      <c r="D2682" t="s">
        <v>2441</v>
      </c>
    </row>
    <row r="2683" spans="1:4" x14ac:dyDescent="0.25">
      <c r="A2683" s="2" t="s">
        <v>2476</v>
      </c>
      <c r="B2683" s="1">
        <v>14282</v>
      </c>
      <c r="C2683" t="s">
        <v>2472</v>
      </c>
      <c r="D2683" t="s">
        <v>2441</v>
      </c>
    </row>
    <row r="2684" spans="1:4" x14ac:dyDescent="0.25">
      <c r="A2684" s="2" t="s">
        <v>2477</v>
      </c>
      <c r="B2684" s="1">
        <v>14308</v>
      </c>
      <c r="C2684" t="s">
        <v>2472</v>
      </c>
      <c r="D2684" t="s">
        <v>2441</v>
      </c>
    </row>
    <row r="2685" spans="1:4" x14ac:dyDescent="0.25">
      <c r="A2685" s="2" t="s">
        <v>2478</v>
      </c>
      <c r="B2685" s="1">
        <v>14309</v>
      </c>
      <c r="C2685" t="s">
        <v>2472</v>
      </c>
      <c r="D2685" t="s">
        <v>2441</v>
      </c>
    </row>
    <row r="2686" spans="1:4" x14ac:dyDescent="0.25">
      <c r="A2686" s="2" t="s">
        <v>2479</v>
      </c>
      <c r="B2686" s="1">
        <v>14305</v>
      </c>
      <c r="C2686" t="s">
        <v>2472</v>
      </c>
      <c r="D2686" t="s">
        <v>2441</v>
      </c>
    </row>
    <row r="2687" spans="1:4" x14ac:dyDescent="0.25">
      <c r="A2687" s="2" t="s">
        <v>2480</v>
      </c>
      <c r="B2687" s="1">
        <v>14338</v>
      </c>
      <c r="C2687" t="s">
        <v>2472</v>
      </c>
      <c r="D2687" t="s">
        <v>2441</v>
      </c>
    </row>
    <row r="2688" spans="1:4" x14ac:dyDescent="0.25">
      <c r="A2688" s="2" t="s">
        <v>2481</v>
      </c>
      <c r="B2688" s="1">
        <v>14347</v>
      </c>
      <c r="C2688" t="s">
        <v>2472</v>
      </c>
      <c r="D2688" t="s">
        <v>2441</v>
      </c>
    </row>
    <row r="2689" spans="1:4" x14ac:dyDescent="0.25">
      <c r="A2689" s="2" t="s">
        <v>2482</v>
      </c>
      <c r="B2689" s="1">
        <v>14347</v>
      </c>
      <c r="C2689" t="s">
        <v>2472</v>
      </c>
      <c r="D2689" t="s">
        <v>2441</v>
      </c>
    </row>
    <row r="2690" spans="1:4" x14ac:dyDescent="0.25">
      <c r="A2690" s="2" t="s">
        <v>2483</v>
      </c>
      <c r="B2690" s="1">
        <v>14347</v>
      </c>
      <c r="C2690" t="s">
        <v>2472</v>
      </c>
      <c r="D2690" t="s">
        <v>2441</v>
      </c>
    </row>
    <row r="2691" spans="1:4" x14ac:dyDescent="0.25">
      <c r="A2691" s="2" t="s">
        <v>2484</v>
      </c>
      <c r="B2691" s="1">
        <v>14362</v>
      </c>
      <c r="C2691" t="s">
        <v>2472</v>
      </c>
      <c r="D2691" t="s">
        <v>2441</v>
      </c>
    </row>
    <row r="2692" spans="1:4" x14ac:dyDescent="0.25">
      <c r="A2692" s="2" t="s">
        <v>2485</v>
      </c>
      <c r="B2692" s="1">
        <v>14444</v>
      </c>
      <c r="C2692" t="s">
        <v>2472</v>
      </c>
      <c r="D2692" t="s">
        <v>2441</v>
      </c>
    </row>
    <row r="2693" spans="1:4" x14ac:dyDescent="0.25">
      <c r="A2693" s="2" t="s">
        <v>2486</v>
      </c>
      <c r="B2693" s="1">
        <v>14448</v>
      </c>
      <c r="C2693" t="s">
        <v>2472</v>
      </c>
      <c r="D2693" t="s">
        <v>2441</v>
      </c>
    </row>
    <row r="2694" spans="1:4" x14ac:dyDescent="0.25">
      <c r="A2694" s="2" t="s">
        <v>2487</v>
      </c>
      <c r="B2694" s="1">
        <v>14458</v>
      </c>
      <c r="C2694" t="s">
        <v>2472</v>
      </c>
      <c r="D2694" t="s">
        <v>2441</v>
      </c>
    </row>
    <row r="2695" spans="1:4" x14ac:dyDescent="0.25">
      <c r="A2695" s="2" t="s">
        <v>2488</v>
      </c>
      <c r="B2695" s="1">
        <v>14469</v>
      </c>
      <c r="C2695" t="s">
        <v>2472</v>
      </c>
      <c r="D2695" t="s">
        <v>2441</v>
      </c>
    </row>
    <row r="2696" spans="1:4" x14ac:dyDescent="0.25">
      <c r="A2696" s="2" t="s">
        <v>2489</v>
      </c>
      <c r="B2696" s="1">
        <v>14469</v>
      </c>
      <c r="C2696" t="s">
        <v>2472</v>
      </c>
      <c r="D2696" t="s">
        <v>2441</v>
      </c>
    </row>
    <row r="2697" spans="1:4" x14ac:dyDescent="0.25">
      <c r="A2697" s="2" t="s">
        <v>2490</v>
      </c>
      <c r="B2697" s="1">
        <v>14469</v>
      </c>
      <c r="C2697" t="s">
        <v>2472</v>
      </c>
      <c r="D2697" t="s">
        <v>2441</v>
      </c>
    </row>
    <row r="2698" spans="1:4" x14ac:dyDescent="0.25">
      <c r="A2698" s="2" t="s">
        <v>2491</v>
      </c>
      <c r="B2698" s="1">
        <v>14478</v>
      </c>
      <c r="C2698" t="s">
        <v>2472</v>
      </c>
      <c r="D2698" t="s">
        <v>2441</v>
      </c>
    </row>
    <row r="2699" spans="1:4" x14ac:dyDescent="0.25">
      <c r="A2699" s="2" t="s">
        <v>2492</v>
      </c>
      <c r="B2699" s="1">
        <v>14462</v>
      </c>
      <c r="C2699" t="s">
        <v>2472</v>
      </c>
      <c r="D2699" t="s">
        <v>2441</v>
      </c>
    </row>
    <row r="2700" spans="1:4" x14ac:dyDescent="0.25">
      <c r="A2700" s="2" t="s">
        <v>2493</v>
      </c>
      <c r="B2700" s="1">
        <v>14488</v>
      </c>
      <c r="C2700" t="s">
        <v>2472</v>
      </c>
      <c r="D2700" t="s">
        <v>2441</v>
      </c>
    </row>
    <row r="2701" spans="1:4" x14ac:dyDescent="0.25">
      <c r="A2701" s="2" t="s">
        <v>2494</v>
      </c>
      <c r="B2701" s="1">
        <v>14513</v>
      </c>
      <c r="C2701" t="s">
        <v>2472</v>
      </c>
      <c r="D2701" t="s">
        <v>2441</v>
      </c>
    </row>
    <row r="2702" spans="1:4" x14ac:dyDescent="0.25">
      <c r="A2702" s="2" t="s">
        <v>2495</v>
      </c>
      <c r="B2702" s="1">
        <v>14451</v>
      </c>
      <c r="C2702" t="s">
        <v>2472</v>
      </c>
      <c r="D2702" t="s">
        <v>2441</v>
      </c>
    </row>
    <row r="2703" spans="1:4" x14ac:dyDescent="0.25">
      <c r="A2703" s="2" t="s">
        <v>2496</v>
      </c>
      <c r="B2703" s="1">
        <v>14451</v>
      </c>
      <c r="C2703" t="s">
        <v>2472</v>
      </c>
      <c r="D2703" t="s">
        <v>2441</v>
      </c>
    </row>
    <row r="2704" spans="1:4" x14ac:dyDescent="0.25">
      <c r="A2704" s="2" t="s">
        <v>2497</v>
      </c>
      <c r="B2704" s="1">
        <v>14451</v>
      </c>
      <c r="C2704" t="s">
        <v>2472</v>
      </c>
      <c r="D2704" t="s">
        <v>2441</v>
      </c>
    </row>
    <row r="2705" spans="1:4" x14ac:dyDescent="0.25">
      <c r="A2705" s="2" t="s">
        <v>2498</v>
      </c>
      <c r="B2705" s="1">
        <v>14360</v>
      </c>
      <c r="C2705" t="s">
        <v>2472</v>
      </c>
      <c r="D2705" t="s">
        <v>2441</v>
      </c>
    </row>
    <row r="2706" spans="1:4" x14ac:dyDescent="0.25">
      <c r="A2706" s="2" t="s">
        <v>2499</v>
      </c>
      <c r="B2706" s="1">
        <v>14380</v>
      </c>
      <c r="C2706" t="s">
        <v>2472</v>
      </c>
      <c r="D2706" t="s">
        <v>2441</v>
      </c>
    </row>
    <row r="2707" spans="1:4" x14ac:dyDescent="0.25">
      <c r="A2707" s="2" t="s">
        <v>2500</v>
      </c>
      <c r="B2707" s="1">
        <v>14417</v>
      </c>
      <c r="C2707" t="s">
        <v>2472</v>
      </c>
      <c r="D2707" t="s">
        <v>2441</v>
      </c>
    </row>
    <row r="2708" spans="1:4" x14ac:dyDescent="0.25">
      <c r="A2708" s="2" t="s">
        <v>2501</v>
      </c>
      <c r="B2708" s="1">
        <v>14417</v>
      </c>
      <c r="C2708" t="s">
        <v>2472</v>
      </c>
      <c r="D2708" t="s">
        <v>2441</v>
      </c>
    </row>
    <row r="2709" spans="1:4" x14ac:dyDescent="0.25">
      <c r="A2709" s="2" t="s">
        <v>2502</v>
      </c>
      <c r="B2709" s="1">
        <v>14417</v>
      </c>
      <c r="C2709" t="s">
        <v>2472</v>
      </c>
      <c r="D2709" t="s">
        <v>2441</v>
      </c>
    </row>
    <row r="2710" spans="1:4" x14ac:dyDescent="0.25">
      <c r="A2710" s="2" t="s">
        <v>2503</v>
      </c>
      <c r="B2710" s="1">
        <v>14385</v>
      </c>
      <c r="C2710" t="s">
        <v>2504</v>
      </c>
      <c r="D2710" t="s">
        <v>2441</v>
      </c>
    </row>
    <row r="2711" spans="1:4" x14ac:dyDescent="0.25">
      <c r="A2711" s="2" t="s">
        <v>2505</v>
      </c>
      <c r="B2711" s="1">
        <v>14385</v>
      </c>
      <c r="C2711" t="s">
        <v>2504</v>
      </c>
      <c r="D2711" t="s">
        <v>2441</v>
      </c>
    </row>
    <row r="2712" spans="1:4" x14ac:dyDescent="0.25">
      <c r="A2712" s="2" t="s">
        <v>2506</v>
      </c>
      <c r="B2712" s="1">
        <v>14385</v>
      </c>
      <c r="C2712" t="s">
        <v>2504</v>
      </c>
      <c r="D2712" t="s">
        <v>2441</v>
      </c>
    </row>
    <row r="2713" spans="1:4" x14ac:dyDescent="0.25">
      <c r="A2713" s="2" t="s">
        <v>2507</v>
      </c>
      <c r="B2713" s="1">
        <v>14385</v>
      </c>
      <c r="C2713" t="s">
        <v>2504</v>
      </c>
      <c r="D2713" t="s">
        <v>2441</v>
      </c>
    </row>
    <row r="2714" spans="1:4" x14ac:dyDescent="0.25">
      <c r="A2714" s="2" t="s">
        <v>2508</v>
      </c>
      <c r="B2714" s="1">
        <v>14385</v>
      </c>
      <c r="C2714" t="s">
        <v>2504</v>
      </c>
      <c r="D2714" t="s">
        <v>2441</v>
      </c>
    </row>
    <row r="2715" spans="1:4" x14ac:dyDescent="0.25">
      <c r="A2715" s="2" t="s">
        <v>2509</v>
      </c>
      <c r="B2715" s="1">
        <v>14385</v>
      </c>
      <c r="C2715" t="s">
        <v>2504</v>
      </c>
      <c r="D2715" t="s">
        <v>2441</v>
      </c>
    </row>
    <row r="2716" spans="1:4" x14ac:dyDescent="0.25">
      <c r="A2716" s="2" t="s">
        <v>2510</v>
      </c>
      <c r="B2716" s="1">
        <v>14385</v>
      </c>
      <c r="C2716" t="s">
        <v>2504</v>
      </c>
      <c r="D2716" t="s">
        <v>2441</v>
      </c>
    </row>
    <row r="2717" spans="1:4" x14ac:dyDescent="0.25">
      <c r="A2717" s="2" t="s">
        <v>2511</v>
      </c>
      <c r="B2717" s="1">
        <v>14385</v>
      </c>
      <c r="C2717" t="s">
        <v>2504</v>
      </c>
      <c r="D2717" t="s">
        <v>2441</v>
      </c>
    </row>
    <row r="2718" spans="1:4" x14ac:dyDescent="0.25">
      <c r="A2718" s="2" t="s">
        <v>2512</v>
      </c>
      <c r="B2718" s="1">
        <v>14385</v>
      </c>
      <c r="C2718" t="s">
        <v>2504</v>
      </c>
      <c r="D2718" t="s">
        <v>2441</v>
      </c>
    </row>
    <row r="2719" spans="1:4" x14ac:dyDescent="0.25">
      <c r="A2719" s="2" t="s">
        <v>2513</v>
      </c>
      <c r="B2719" s="1">
        <v>14231</v>
      </c>
      <c r="C2719" t="s">
        <v>2504</v>
      </c>
      <c r="D2719" t="s">
        <v>2441</v>
      </c>
    </row>
    <row r="2720" spans="1:4" x14ac:dyDescent="0.25">
      <c r="A2720" s="2" t="s">
        <v>2514</v>
      </c>
      <c r="B2720" s="1">
        <v>14258</v>
      </c>
      <c r="C2720" t="s">
        <v>2504</v>
      </c>
      <c r="D2720" t="s">
        <v>2441</v>
      </c>
    </row>
    <row r="2721" spans="1:4" x14ac:dyDescent="0.25">
      <c r="A2721" s="2" t="s">
        <v>2515</v>
      </c>
      <c r="B2721" s="1">
        <v>14234</v>
      </c>
      <c r="C2721" t="s">
        <v>2504</v>
      </c>
      <c r="D2721" t="s">
        <v>2441</v>
      </c>
    </row>
    <row r="2722" spans="1:4" x14ac:dyDescent="0.25">
      <c r="A2722" s="2" t="s">
        <v>2516</v>
      </c>
      <c r="B2722" s="1">
        <v>14270</v>
      </c>
      <c r="C2722" t="s">
        <v>2504</v>
      </c>
      <c r="D2722" t="s">
        <v>2441</v>
      </c>
    </row>
    <row r="2723" spans="1:4" x14ac:dyDescent="0.25">
      <c r="A2723" s="2" t="s">
        <v>2517</v>
      </c>
      <c r="B2723" s="1">
        <v>14304</v>
      </c>
      <c r="C2723" t="s">
        <v>2504</v>
      </c>
      <c r="D2723" t="s">
        <v>2441</v>
      </c>
    </row>
    <row r="2724" spans="1:4" x14ac:dyDescent="0.25">
      <c r="A2724" s="2" t="s">
        <v>2518</v>
      </c>
      <c r="B2724" s="1">
        <v>14304</v>
      </c>
      <c r="C2724" t="s">
        <v>2504</v>
      </c>
      <c r="D2724" t="s">
        <v>2441</v>
      </c>
    </row>
    <row r="2725" spans="1:4" x14ac:dyDescent="0.25">
      <c r="A2725" s="2" t="s">
        <v>2519</v>
      </c>
      <c r="B2725" s="1">
        <v>14304</v>
      </c>
      <c r="C2725" t="s">
        <v>2504</v>
      </c>
      <c r="D2725" t="s">
        <v>2441</v>
      </c>
    </row>
    <row r="2726" spans="1:4" x14ac:dyDescent="0.25">
      <c r="A2726" s="2" t="s">
        <v>2520</v>
      </c>
      <c r="B2726" s="1">
        <v>14346</v>
      </c>
      <c r="C2726" t="s">
        <v>2504</v>
      </c>
      <c r="D2726" t="s">
        <v>2441</v>
      </c>
    </row>
    <row r="2727" spans="1:4" x14ac:dyDescent="0.25">
      <c r="A2727" s="2" t="s">
        <v>2521</v>
      </c>
      <c r="B2727" s="1">
        <v>14334</v>
      </c>
      <c r="C2727" t="s">
        <v>2504</v>
      </c>
      <c r="D2727" t="s">
        <v>2441</v>
      </c>
    </row>
    <row r="2728" spans="1:4" x14ac:dyDescent="0.25">
      <c r="A2728" s="2" t="s">
        <v>2522</v>
      </c>
      <c r="B2728" s="1">
        <v>14271</v>
      </c>
      <c r="C2728" t="s">
        <v>2504</v>
      </c>
      <c r="D2728" t="s">
        <v>2441</v>
      </c>
    </row>
    <row r="2729" spans="1:4" x14ac:dyDescent="0.25">
      <c r="A2729" s="2" t="s">
        <v>2523</v>
      </c>
      <c r="B2729" s="1">
        <v>14236</v>
      </c>
      <c r="C2729" t="s">
        <v>2504</v>
      </c>
      <c r="D2729" t="s">
        <v>2441</v>
      </c>
    </row>
    <row r="2730" spans="1:4" x14ac:dyDescent="0.25">
      <c r="A2730" s="2" t="s">
        <v>2524</v>
      </c>
      <c r="B2730" s="1">
        <v>14116</v>
      </c>
      <c r="C2730" t="s">
        <v>2504</v>
      </c>
      <c r="D2730" t="s">
        <v>2441</v>
      </c>
    </row>
    <row r="2731" spans="1:4" x14ac:dyDescent="0.25">
      <c r="A2731" s="2" t="s">
        <v>2525</v>
      </c>
      <c r="B2731" s="1">
        <v>14116</v>
      </c>
      <c r="C2731" t="s">
        <v>2504</v>
      </c>
      <c r="D2731" t="s">
        <v>2441</v>
      </c>
    </row>
    <row r="2732" spans="1:4" x14ac:dyDescent="0.25">
      <c r="A2732" s="2" t="s">
        <v>2526</v>
      </c>
      <c r="B2732" s="1">
        <v>14116</v>
      </c>
      <c r="C2732" t="s">
        <v>2504</v>
      </c>
      <c r="D2732" t="s">
        <v>2441</v>
      </c>
    </row>
    <row r="2733" spans="1:4" x14ac:dyDescent="0.25">
      <c r="A2733" s="2" t="s">
        <v>2527</v>
      </c>
      <c r="B2733" s="1">
        <v>14165</v>
      </c>
      <c r="C2733" t="s">
        <v>2504</v>
      </c>
      <c r="D2733" t="s">
        <v>2441</v>
      </c>
    </row>
    <row r="2734" spans="1:4" x14ac:dyDescent="0.25">
      <c r="A2734" s="2" t="s">
        <v>2528</v>
      </c>
      <c r="B2734" s="1">
        <v>14138</v>
      </c>
      <c r="C2734" t="s">
        <v>2504</v>
      </c>
      <c r="D2734" t="s">
        <v>2441</v>
      </c>
    </row>
    <row r="2735" spans="1:4" x14ac:dyDescent="0.25">
      <c r="A2735" s="2" t="s">
        <v>2529</v>
      </c>
      <c r="B2735" s="1">
        <v>14174</v>
      </c>
      <c r="C2735" t="s">
        <v>2504</v>
      </c>
      <c r="D2735" t="s">
        <v>2441</v>
      </c>
    </row>
    <row r="2736" spans="1:4" x14ac:dyDescent="0.25">
      <c r="A2736" s="2" t="s">
        <v>2530</v>
      </c>
      <c r="B2736" s="1">
        <v>14180</v>
      </c>
      <c r="C2736" t="s">
        <v>2504</v>
      </c>
      <c r="D2736" t="s">
        <v>2441</v>
      </c>
    </row>
    <row r="2737" spans="1:4" x14ac:dyDescent="0.25">
      <c r="A2737" s="2" t="s">
        <v>2531</v>
      </c>
      <c r="B2737" s="1">
        <v>14141</v>
      </c>
      <c r="C2737" t="s">
        <v>2504</v>
      </c>
      <c r="D2737" t="s">
        <v>2441</v>
      </c>
    </row>
    <row r="2738" spans="1:4" x14ac:dyDescent="0.25">
      <c r="A2738" s="2" t="s">
        <v>2532</v>
      </c>
      <c r="B2738" s="1">
        <v>14141</v>
      </c>
      <c r="C2738" t="s">
        <v>2504</v>
      </c>
      <c r="D2738" t="s">
        <v>2441</v>
      </c>
    </row>
    <row r="2739" spans="1:4" x14ac:dyDescent="0.25">
      <c r="A2739" s="2" t="s">
        <v>2533</v>
      </c>
      <c r="B2739" s="1">
        <v>14141</v>
      </c>
      <c r="C2739" t="s">
        <v>2504</v>
      </c>
      <c r="D2739" t="s">
        <v>2441</v>
      </c>
    </row>
    <row r="2740" spans="1:4" x14ac:dyDescent="0.25">
      <c r="A2740" s="2" t="s">
        <v>2534</v>
      </c>
      <c r="B2740" s="1">
        <v>14117</v>
      </c>
      <c r="C2740" t="s">
        <v>2535</v>
      </c>
      <c r="D2740" t="s">
        <v>2536</v>
      </c>
    </row>
    <row r="2741" spans="1:4" x14ac:dyDescent="0.25">
      <c r="A2741" s="2" t="s">
        <v>2537</v>
      </c>
      <c r="B2741" s="1">
        <v>14140</v>
      </c>
      <c r="C2741" t="s">
        <v>2535</v>
      </c>
      <c r="D2741" t="s">
        <v>2536</v>
      </c>
    </row>
    <row r="2742" spans="1:4" x14ac:dyDescent="0.25">
      <c r="A2742" s="2" t="s">
        <v>2538</v>
      </c>
      <c r="B2742" s="1">
        <v>14160</v>
      </c>
      <c r="C2742" t="s">
        <v>2535</v>
      </c>
      <c r="D2742" t="s">
        <v>2536</v>
      </c>
    </row>
    <row r="2743" spans="1:4" x14ac:dyDescent="0.25">
      <c r="A2743" s="2" t="s">
        <v>2539</v>
      </c>
      <c r="B2743" s="1">
        <v>14106</v>
      </c>
      <c r="C2743" t="s">
        <v>2535</v>
      </c>
      <c r="D2743" t="s">
        <v>2536</v>
      </c>
    </row>
    <row r="2744" spans="1:4" x14ac:dyDescent="0.25">
      <c r="A2744" s="2" t="s">
        <v>2540</v>
      </c>
      <c r="B2744" s="1">
        <v>14148</v>
      </c>
      <c r="C2744" t="s">
        <v>2535</v>
      </c>
      <c r="D2744" t="s">
        <v>2536</v>
      </c>
    </row>
    <row r="2745" spans="1:4" x14ac:dyDescent="0.25">
      <c r="A2745" s="2" t="s">
        <v>2541</v>
      </c>
      <c r="B2745" s="1">
        <v>14148</v>
      </c>
      <c r="C2745" t="s">
        <v>2535</v>
      </c>
      <c r="D2745" t="s">
        <v>2536</v>
      </c>
    </row>
    <row r="2746" spans="1:4" x14ac:dyDescent="0.25">
      <c r="A2746" s="2" t="s">
        <v>2542</v>
      </c>
      <c r="B2746" s="1">
        <v>14148</v>
      </c>
      <c r="C2746" t="s">
        <v>2535</v>
      </c>
      <c r="D2746" t="s">
        <v>2536</v>
      </c>
    </row>
    <row r="2747" spans="1:4" x14ac:dyDescent="0.25">
      <c r="A2747" s="2" t="s">
        <v>2543</v>
      </c>
      <c r="B2747" s="1">
        <v>14147</v>
      </c>
      <c r="C2747" t="s">
        <v>2535</v>
      </c>
      <c r="D2747" t="s">
        <v>2536</v>
      </c>
    </row>
    <row r="2748" spans="1:4" x14ac:dyDescent="0.25">
      <c r="A2748" s="2" t="s">
        <v>2544</v>
      </c>
      <c r="B2748" s="1">
        <v>14129</v>
      </c>
      <c r="C2748" t="s">
        <v>2535</v>
      </c>
      <c r="D2748" t="s">
        <v>2536</v>
      </c>
    </row>
    <row r="2749" spans="1:4" x14ac:dyDescent="0.25">
      <c r="A2749" s="2" t="s">
        <v>2545</v>
      </c>
      <c r="B2749" s="1">
        <v>14152</v>
      </c>
      <c r="C2749" t="s">
        <v>2535</v>
      </c>
      <c r="D2749" t="s">
        <v>2536</v>
      </c>
    </row>
    <row r="2750" spans="1:4" x14ac:dyDescent="0.25">
      <c r="A2750" s="2" t="s">
        <v>2546</v>
      </c>
      <c r="B2750" s="1">
        <v>14089</v>
      </c>
      <c r="C2750" t="s">
        <v>2535</v>
      </c>
      <c r="D2750" t="s">
        <v>2536</v>
      </c>
    </row>
    <row r="2751" spans="1:4" x14ac:dyDescent="0.25">
      <c r="A2751" s="2" t="s">
        <v>2547</v>
      </c>
      <c r="B2751" s="1">
        <v>14085</v>
      </c>
      <c r="C2751" t="s">
        <v>2535</v>
      </c>
      <c r="D2751" t="s">
        <v>2536</v>
      </c>
    </row>
    <row r="2752" spans="1:4" x14ac:dyDescent="0.25">
      <c r="A2752" s="2" t="s">
        <v>2548</v>
      </c>
      <c r="B2752" s="1">
        <v>14085</v>
      </c>
      <c r="C2752" t="s">
        <v>2535</v>
      </c>
      <c r="D2752" t="s">
        <v>2536</v>
      </c>
    </row>
    <row r="2753" spans="1:4" x14ac:dyDescent="0.25">
      <c r="A2753" s="2" t="s">
        <v>2549</v>
      </c>
      <c r="B2753" s="1">
        <v>14085</v>
      </c>
      <c r="C2753" t="s">
        <v>2535</v>
      </c>
      <c r="D2753" t="s">
        <v>2536</v>
      </c>
    </row>
    <row r="2754" spans="1:4" x14ac:dyDescent="0.25">
      <c r="A2754" s="2" t="s">
        <v>2550</v>
      </c>
      <c r="B2754" s="1">
        <v>13970</v>
      </c>
      <c r="C2754" t="s">
        <v>2535</v>
      </c>
      <c r="D2754" t="s">
        <v>2536</v>
      </c>
    </row>
    <row r="2755" spans="1:4" x14ac:dyDescent="0.25">
      <c r="A2755" s="2" t="s">
        <v>2551</v>
      </c>
      <c r="B2755" s="1">
        <v>13925</v>
      </c>
      <c r="C2755" t="s">
        <v>2535</v>
      </c>
      <c r="D2755" t="s">
        <v>2536</v>
      </c>
    </row>
    <row r="2756" spans="1:4" x14ac:dyDescent="0.25">
      <c r="A2756" s="2" t="s">
        <v>2552</v>
      </c>
      <c r="B2756" s="1">
        <v>13949</v>
      </c>
      <c r="C2756" t="s">
        <v>2535</v>
      </c>
      <c r="D2756" t="s">
        <v>2536</v>
      </c>
    </row>
    <row r="2757" spans="1:4" x14ac:dyDescent="0.25">
      <c r="A2757" s="2" t="s">
        <v>2553</v>
      </c>
      <c r="B2757" s="1">
        <v>13976</v>
      </c>
      <c r="C2757" t="s">
        <v>2535</v>
      </c>
      <c r="D2757" t="s">
        <v>2536</v>
      </c>
    </row>
    <row r="2758" spans="1:4" x14ac:dyDescent="0.25">
      <c r="A2758" s="2" t="s">
        <v>2554</v>
      </c>
      <c r="B2758" s="1">
        <v>13913</v>
      </c>
      <c r="C2758" t="s">
        <v>2535</v>
      </c>
      <c r="D2758" t="s">
        <v>2536</v>
      </c>
    </row>
    <row r="2759" spans="1:4" x14ac:dyDescent="0.25">
      <c r="A2759" s="2" t="s">
        <v>2555</v>
      </c>
      <c r="B2759" s="1">
        <v>13913</v>
      </c>
      <c r="C2759" t="s">
        <v>2535</v>
      </c>
      <c r="D2759" t="s">
        <v>2536</v>
      </c>
    </row>
    <row r="2760" spans="1:4" x14ac:dyDescent="0.25">
      <c r="A2760" s="2" t="s">
        <v>2556</v>
      </c>
      <c r="B2760" s="1">
        <v>13913</v>
      </c>
      <c r="C2760" t="s">
        <v>2535</v>
      </c>
      <c r="D2760" t="s">
        <v>2536</v>
      </c>
    </row>
    <row r="2761" spans="1:4" x14ac:dyDescent="0.25">
      <c r="A2761" s="2" t="s">
        <v>2557</v>
      </c>
      <c r="B2761" s="1">
        <v>13963</v>
      </c>
      <c r="C2761" t="s">
        <v>2535</v>
      </c>
      <c r="D2761" t="s">
        <v>2536</v>
      </c>
    </row>
    <row r="2762" spans="1:4" x14ac:dyDescent="0.25">
      <c r="A2762" s="2" t="s">
        <v>2558</v>
      </c>
      <c r="B2762" s="1">
        <v>13973</v>
      </c>
      <c r="C2762" t="s">
        <v>2535</v>
      </c>
      <c r="D2762" t="s">
        <v>2536</v>
      </c>
    </row>
    <row r="2763" spans="1:4" x14ac:dyDescent="0.25">
      <c r="A2763" s="2" t="s">
        <v>2559</v>
      </c>
      <c r="B2763" s="1">
        <v>14011</v>
      </c>
      <c r="C2763" t="s">
        <v>2535</v>
      </c>
      <c r="D2763" t="s">
        <v>2536</v>
      </c>
    </row>
    <row r="2764" spans="1:4" x14ac:dyDescent="0.25">
      <c r="A2764" s="2" t="s">
        <v>2560</v>
      </c>
      <c r="B2764" s="1">
        <v>13986</v>
      </c>
      <c r="C2764" t="s">
        <v>2535</v>
      </c>
      <c r="D2764" t="s">
        <v>2536</v>
      </c>
    </row>
    <row r="2765" spans="1:4" x14ac:dyDescent="0.25">
      <c r="A2765" s="2" t="s">
        <v>2561</v>
      </c>
      <c r="B2765" s="1">
        <v>14001</v>
      </c>
      <c r="C2765" t="s">
        <v>2535</v>
      </c>
      <c r="D2765" t="s">
        <v>2536</v>
      </c>
    </row>
    <row r="2766" spans="1:4" x14ac:dyDescent="0.25">
      <c r="A2766" s="2" t="s">
        <v>2562</v>
      </c>
      <c r="B2766" s="1">
        <v>14001</v>
      </c>
      <c r="C2766" t="s">
        <v>2535</v>
      </c>
      <c r="D2766" t="s">
        <v>2536</v>
      </c>
    </row>
    <row r="2767" spans="1:4" x14ac:dyDescent="0.25">
      <c r="A2767" s="2" t="s">
        <v>2563</v>
      </c>
      <c r="B2767" s="1">
        <v>14001</v>
      </c>
      <c r="C2767" t="s">
        <v>2535</v>
      </c>
      <c r="D2767" t="s">
        <v>2536</v>
      </c>
    </row>
    <row r="2768" spans="1:4" x14ac:dyDescent="0.25">
      <c r="A2768" s="2" t="s">
        <v>2564</v>
      </c>
      <c r="B2768" s="1">
        <v>14010</v>
      </c>
      <c r="C2768" t="s">
        <v>2535</v>
      </c>
      <c r="D2768" t="s">
        <v>2536</v>
      </c>
    </row>
    <row r="2769" spans="1:4" x14ac:dyDescent="0.25">
      <c r="A2769" s="2" t="s">
        <v>2565</v>
      </c>
      <c r="B2769" s="1">
        <v>14034</v>
      </c>
      <c r="C2769" t="s">
        <v>2535</v>
      </c>
      <c r="D2769" t="s">
        <v>2536</v>
      </c>
    </row>
    <row r="2770" spans="1:4" x14ac:dyDescent="0.25">
      <c r="A2770" s="2" t="s">
        <v>2566</v>
      </c>
      <c r="B2770" s="1">
        <v>14026</v>
      </c>
      <c r="C2770" t="s">
        <v>2535</v>
      </c>
      <c r="D2770" t="s">
        <v>2536</v>
      </c>
    </row>
    <row r="2771" spans="1:4" x14ac:dyDescent="0.25">
      <c r="A2771" s="2" t="s">
        <v>2567</v>
      </c>
      <c r="B2771" s="1">
        <v>14098</v>
      </c>
      <c r="C2771" t="s">
        <v>2568</v>
      </c>
      <c r="D2771" t="s">
        <v>2536</v>
      </c>
    </row>
    <row r="2772" spans="1:4" x14ac:dyDescent="0.25">
      <c r="A2772" s="2" t="s">
        <v>2569</v>
      </c>
      <c r="B2772" s="1">
        <v>14203</v>
      </c>
      <c r="C2772" t="s">
        <v>2568</v>
      </c>
      <c r="D2772" t="s">
        <v>2536</v>
      </c>
    </row>
    <row r="2773" spans="1:4" x14ac:dyDescent="0.25">
      <c r="A2773" s="2" t="s">
        <v>2570</v>
      </c>
      <c r="B2773" s="1">
        <v>14203</v>
      </c>
      <c r="C2773" t="s">
        <v>2568</v>
      </c>
      <c r="D2773" t="s">
        <v>2536</v>
      </c>
    </row>
    <row r="2774" spans="1:4" x14ac:dyDescent="0.25">
      <c r="A2774" s="2" t="s">
        <v>2571</v>
      </c>
      <c r="B2774" s="1">
        <v>14203</v>
      </c>
      <c r="C2774" t="s">
        <v>2568</v>
      </c>
      <c r="D2774" t="s">
        <v>2536</v>
      </c>
    </row>
    <row r="2775" spans="1:4" x14ac:dyDescent="0.25">
      <c r="A2775" s="2" t="s">
        <v>2572</v>
      </c>
      <c r="B2775" s="1">
        <v>14231</v>
      </c>
      <c r="C2775" t="s">
        <v>2568</v>
      </c>
      <c r="D2775" t="s">
        <v>2536</v>
      </c>
    </row>
    <row r="2776" spans="1:4" x14ac:dyDescent="0.25">
      <c r="A2776" s="2" t="s">
        <v>2573</v>
      </c>
      <c r="B2776" s="1">
        <v>14344</v>
      </c>
      <c r="C2776" t="s">
        <v>2568</v>
      </c>
      <c r="D2776" t="s">
        <v>2536</v>
      </c>
    </row>
    <row r="2777" spans="1:4" x14ac:dyDescent="0.25">
      <c r="A2777" s="2" t="s">
        <v>2574</v>
      </c>
      <c r="B2777" s="1">
        <v>14275</v>
      </c>
      <c r="C2777" t="s">
        <v>2568</v>
      </c>
      <c r="D2777" t="s">
        <v>2536</v>
      </c>
    </row>
    <row r="2778" spans="1:4" x14ac:dyDescent="0.25">
      <c r="A2778" s="2" t="s">
        <v>2575</v>
      </c>
      <c r="B2778" s="1">
        <v>14231</v>
      </c>
      <c r="C2778" t="s">
        <v>2568</v>
      </c>
      <c r="D2778" t="s">
        <v>2536</v>
      </c>
    </row>
    <row r="2779" spans="1:4" x14ac:dyDescent="0.25">
      <c r="A2779" s="2" t="s">
        <v>2576</v>
      </c>
      <c r="B2779" s="1">
        <v>14195</v>
      </c>
      <c r="C2779" t="s">
        <v>2568</v>
      </c>
      <c r="D2779" t="s">
        <v>2536</v>
      </c>
    </row>
    <row r="2780" spans="1:4" x14ac:dyDescent="0.25">
      <c r="A2780" s="2" t="s">
        <v>2577</v>
      </c>
      <c r="B2780" s="1">
        <v>14195</v>
      </c>
      <c r="C2780" t="s">
        <v>2568</v>
      </c>
      <c r="D2780" t="s">
        <v>2536</v>
      </c>
    </row>
    <row r="2781" spans="1:4" x14ac:dyDescent="0.25">
      <c r="A2781" s="2" t="s">
        <v>2578</v>
      </c>
      <c r="B2781" s="1">
        <v>14195</v>
      </c>
      <c r="C2781" t="s">
        <v>2568</v>
      </c>
      <c r="D2781" t="s">
        <v>2536</v>
      </c>
    </row>
    <row r="2782" spans="1:4" x14ac:dyDescent="0.25">
      <c r="A2782" s="2" t="s">
        <v>2579</v>
      </c>
      <c r="B2782" s="1">
        <v>14220</v>
      </c>
      <c r="C2782" t="s">
        <v>2568</v>
      </c>
      <c r="D2782" t="s">
        <v>2536</v>
      </c>
    </row>
    <row r="2783" spans="1:4" x14ac:dyDescent="0.25">
      <c r="A2783" s="2" t="s">
        <v>2580</v>
      </c>
      <c r="B2783" s="1">
        <v>14283</v>
      </c>
      <c r="C2783" t="s">
        <v>2568</v>
      </c>
      <c r="D2783" t="s">
        <v>2536</v>
      </c>
    </row>
    <row r="2784" spans="1:4" x14ac:dyDescent="0.25">
      <c r="A2784" s="2" t="s">
        <v>2581</v>
      </c>
      <c r="B2784" s="1">
        <v>14234</v>
      </c>
      <c r="C2784" t="s">
        <v>2568</v>
      </c>
      <c r="D2784" t="s">
        <v>2536</v>
      </c>
    </row>
    <row r="2785" spans="1:4" x14ac:dyDescent="0.25">
      <c r="A2785" s="2" t="s">
        <v>2582</v>
      </c>
      <c r="B2785" s="1">
        <v>14296</v>
      </c>
      <c r="C2785" t="s">
        <v>2568</v>
      </c>
      <c r="D2785" t="s">
        <v>2536</v>
      </c>
    </row>
    <row r="2786" spans="1:4" x14ac:dyDescent="0.25">
      <c r="A2786" s="2" t="s">
        <v>2583</v>
      </c>
      <c r="B2786" s="1">
        <v>14258</v>
      </c>
      <c r="C2786" t="s">
        <v>2568</v>
      </c>
      <c r="D2786" t="s">
        <v>2536</v>
      </c>
    </row>
    <row r="2787" spans="1:4" x14ac:dyDescent="0.25">
      <c r="A2787" s="2" t="s">
        <v>2584</v>
      </c>
      <c r="B2787" s="1">
        <v>14258</v>
      </c>
      <c r="C2787" t="s">
        <v>2568</v>
      </c>
      <c r="D2787" t="s">
        <v>2536</v>
      </c>
    </row>
    <row r="2788" spans="1:4" x14ac:dyDescent="0.25">
      <c r="A2788" s="2" t="s">
        <v>2585</v>
      </c>
      <c r="B2788" s="1">
        <v>14258</v>
      </c>
      <c r="C2788" t="s">
        <v>2568</v>
      </c>
      <c r="D2788" t="s">
        <v>2536</v>
      </c>
    </row>
    <row r="2789" spans="1:4" x14ac:dyDescent="0.25">
      <c r="A2789" s="2" t="s">
        <v>2586</v>
      </c>
      <c r="B2789" s="1">
        <v>14203</v>
      </c>
      <c r="C2789" t="s">
        <v>2568</v>
      </c>
      <c r="D2789" t="s">
        <v>2536</v>
      </c>
    </row>
    <row r="2790" spans="1:4" x14ac:dyDescent="0.25">
      <c r="A2790" s="2" t="s">
        <v>2587</v>
      </c>
      <c r="B2790" s="1">
        <v>14262</v>
      </c>
      <c r="C2790" t="s">
        <v>2568</v>
      </c>
      <c r="D2790" t="s">
        <v>2536</v>
      </c>
    </row>
    <row r="2791" spans="1:4" x14ac:dyDescent="0.25">
      <c r="A2791" s="2" t="s">
        <v>2588</v>
      </c>
      <c r="B2791" s="1">
        <v>14259</v>
      </c>
      <c r="C2791" t="s">
        <v>2568</v>
      </c>
      <c r="D2791" t="s">
        <v>2536</v>
      </c>
    </row>
    <row r="2792" spans="1:4" x14ac:dyDescent="0.25">
      <c r="A2792" s="2" t="s">
        <v>2589</v>
      </c>
      <c r="B2792" s="1">
        <v>14234</v>
      </c>
      <c r="C2792" t="s">
        <v>2568</v>
      </c>
      <c r="D2792" t="s">
        <v>2536</v>
      </c>
    </row>
    <row r="2793" spans="1:4" x14ac:dyDescent="0.25">
      <c r="A2793" s="2" t="s">
        <v>2590</v>
      </c>
      <c r="B2793" s="1">
        <v>14249</v>
      </c>
      <c r="C2793" t="s">
        <v>2568</v>
      </c>
      <c r="D2793" t="s">
        <v>2536</v>
      </c>
    </row>
    <row r="2794" spans="1:4" x14ac:dyDescent="0.25">
      <c r="A2794" s="2" t="s">
        <v>2591</v>
      </c>
      <c r="B2794" s="1">
        <v>14249</v>
      </c>
      <c r="C2794" t="s">
        <v>2568</v>
      </c>
      <c r="D2794" t="s">
        <v>2536</v>
      </c>
    </row>
    <row r="2795" spans="1:4" x14ac:dyDescent="0.25">
      <c r="A2795" s="2" t="s">
        <v>2592</v>
      </c>
      <c r="B2795" s="1">
        <v>14249</v>
      </c>
      <c r="C2795" t="s">
        <v>2568</v>
      </c>
      <c r="D2795" t="s">
        <v>2536</v>
      </c>
    </row>
    <row r="2796" spans="1:4" x14ac:dyDescent="0.25">
      <c r="A2796" s="2" t="s">
        <v>2593</v>
      </c>
      <c r="B2796" s="1">
        <v>14261</v>
      </c>
      <c r="C2796" t="s">
        <v>2568</v>
      </c>
      <c r="D2796" t="s">
        <v>2536</v>
      </c>
    </row>
    <row r="2797" spans="1:4" x14ac:dyDescent="0.25">
      <c r="A2797" s="2" t="s">
        <v>2594</v>
      </c>
      <c r="B2797" s="1">
        <v>14235</v>
      </c>
      <c r="C2797" t="s">
        <v>2568</v>
      </c>
      <c r="D2797" t="s">
        <v>2536</v>
      </c>
    </row>
    <row r="2798" spans="1:4" x14ac:dyDescent="0.25">
      <c r="A2798" s="2" t="s">
        <v>2595</v>
      </c>
      <c r="B2798" s="1">
        <v>14263</v>
      </c>
      <c r="C2798" t="s">
        <v>2568</v>
      </c>
      <c r="D2798" t="s">
        <v>2536</v>
      </c>
    </row>
    <row r="2799" spans="1:4" x14ac:dyDescent="0.25">
      <c r="A2799" s="2" t="s">
        <v>2596</v>
      </c>
      <c r="B2799" s="1">
        <v>14254</v>
      </c>
      <c r="C2799" t="s">
        <v>2568</v>
      </c>
      <c r="D2799" t="s">
        <v>2536</v>
      </c>
    </row>
    <row r="2800" spans="1:4" x14ac:dyDescent="0.25">
      <c r="A2800" s="2" t="s">
        <v>2597</v>
      </c>
      <c r="B2800" s="1">
        <v>14237</v>
      </c>
      <c r="C2800" t="s">
        <v>2568</v>
      </c>
      <c r="D2800" t="s">
        <v>2536</v>
      </c>
    </row>
    <row r="2801" spans="1:4" x14ac:dyDescent="0.25">
      <c r="A2801" s="2" t="s">
        <v>2598</v>
      </c>
      <c r="B2801" s="1">
        <v>14237</v>
      </c>
      <c r="C2801" t="s">
        <v>2568</v>
      </c>
      <c r="D2801" t="s">
        <v>2536</v>
      </c>
    </row>
    <row r="2802" spans="1:4" x14ac:dyDescent="0.25">
      <c r="A2802" s="2" t="s">
        <v>2599</v>
      </c>
      <c r="B2802" s="1">
        <v>14237</v>
      </c>
      <c r="C2802" t="s">
        <v>2600</v>
      </c>
      <c r="D2802" t="s">
        <v>2536</v>
      </c>
    </row>
    <row r="2803" spans="1:4" x14ac:dyDescent="0.25">
      <c r="A2803" s="2" t="s">
        <v>2601</v>
      </c>
      <c r="B2803" s="1">
        <v>14190</v>
      </c>
      <c r="C2803" t="s">
        <v>2600</v>
      </c>
      <c r="D2803" t="s">
        <v>2536</v>
      </c>
    </row>
    <row r="2804" spans="1:4" x14ac:dyDescent="0.25">
      <c r="A2804" s="2" t="s">
        <v>2602</v>
      </c>
      <c r="B2804" s="1">
        <v>14217</v>
      </c>
      <c r="C2804" t="s">
        <v>2600</v>
      </c>
      <c r="D2804" t="s">
        <v>2536</v>
      </c>
    </row>
    <row r="2805" spans="1:4" x14ac:dyDescent="0.25">
      <c r="A2805" s="2" t="s">
        <v>2603</v>
      </c>
      <c r="B2805" s="1">
        <v>14218</v>
      </c>
      <c r="C2805" t="s">
        <v>2600</v>
      </c>
      <c r="D2805" t="s">
        <v>2536</v>
      </c>
    </row>
    <row r="2806" spans="1:4" x14ac:dyDescent="0.25">
      <c r="A2806" s="2" t="s">
        <v>2604</v>
      </c>
      <c r="B2806" s="1">
        <v>14153</v>
      </c>
      <c r="C2806" t="s">
        <v>2600</v>
      </c>
      <c r="D2806" t="s">
        <v>2536</v>
      </c>
    </row>
    <row r="2807" spans="1:4" x14ac:dyDescent="0.25">
      <c r="A2807" s="2" t="s">
        <v>2605</v>
      </c>
      <c r="B2807" s="1">
        <v>14140</v>
      </c>
      <c r="C2807" t="s">
        <v>2600</v>
      </c>
      <c r="D2807" t="s">
        <v>2536</v>
      </c>
    </row>
    <row r="2808" spans="1:4" x14ac:dyDescent="0.25">
      <c r="A2808" s="2" t="s">
        <v>2606</v>
      </c>
      <c r="B2808" s="1">
        <v>14140</v>
      </c>
      <c r="C2808" t="s">
        <v>2600</v>
      </c>
      <c r="D2808" t="s">
        <v>2536</v>
      </c>
    </row>
    <row r="2809" spans="1:4" x14ac:dyDescent="0.25">
      <c r="A2809" s="2" t="s">
        <v>2607</v>
      </c>
      <c r="B2809" s="1">
        <v>14140</v>
      </c>
      <c r="C2809" t="s">
        <v>2600</v>
      </c>
      <c r="D2809" t="s">
        <v>2536</v>
      </c>
    </row>
    <row r="2810" spans="1:4" x14ac:dyDescent="0.25">
      <c r="A2810" s="2" t="s">
        <v>2608</v>
      </c>
      <c r="B2810" s="1">
        <v>14092</v>
      </c>
      <c r="C2810" t="s">
        <v>2600</v>
      </c>
      <c r="D2810" t="s">
        <v>2536</v>
      </c>
    </row>
    <row r="2811" spans="1:4" x14ac:dyDescent="0.25">
      <c r="A2811" s="2" t="s">
        <v>2609</v>
      </c>
      <c r="B2811" s="1">
        <v>14031</v>
      </c>
      <c r="C2811" t="s">
        <v>2600</v>
      </c>
      <c r="D2811" t="s">
        <v>2536</v>
      </c>
    </row>
    <row r="2812" spans="1:4" x14ac:dyDescent="0.25">
      <c r="A2812" s="2" t="s">
        <v>2610</v>
      </c>
      <c r="B2812" s="1">
        <v>14063</v>
      </c>
      <c r="C2812" t="s">
        <v>2600</v>
      </c>
      <c r="D2812" t="s">
        <v>2536</v>
      </c>
    </row>
    <row r="2813" spans="1:4" x14ac:dyDescent="0.25">
      <c r="A2813" s="2" t="s">
        <v>2611</v>
      </c>
      <c r="B2813" s="1">
        <v>14052</v>
      </c>
      <c r="C2813" t="s">
        <v>2600</v>
      </c>
      <c r="D2813" t="s">
        <v>2536</v>
      </c>
    </row>
    <row r="2814" spans="1:4" x14ac:dyDescent="0.25">
      <c r="A2814" s="2" t="s">
        <v>2612</v>
      </c>
      <c r="B2814" s="1">
        <v>13950</v>
      </c>
      <c r="C2814" t="s">
        <v>2600</v>
      </c>
      <c r="D2814" t="s">
        <v>2536</v>
      </c>
    </row>
    <row r="2815" spans="1:4" x14ac:dyDescent="0.25">
      <c r="A2815" s="2" t="s">
        <v>2613</v>
      </c>
      <c r="B2815" s="1">
        <v>13950</v>
      </c>
      <c r="C2815" t="s">
        <v>2600</v>
      </c>
      <c r="D2815" t="s">
        <v>2536</v>
      </c>
    </row>
    <row r="2816" spans="1:4" x14ac:dyDescent="0.25">
      <c r="A2816" s="2" t="s">
        <v>2614</v>
      </c>
      <c r="B2816" s="1">
        <v>13950</v>
      </c>
      <c r="C2816" t="s">
        <v>2600</v>
      </c>
      <c r="D2816" t="s">
        <v>2536</v>
      </c>
    </row>
    <row r="2817" spans="1:4" x14ac:dyDescent="0.25">
      <c r="A2817" s="2" t="s">
        <v>2615</v>
      </c>
      <c r="B2817" s="1">
        <v>14020</v>
      </c>
      <c r="C2817" t="s">
        <v>2600</v>
      </c>
      <c r="D2817" t="s">
        <v>2536</v>
      </c>
    </row>
    <row r="2818" spans="1:4" x14ac:dyDescent="0.25">
      <c r="A2818" s="2" t="s">
        <v>2616</v>
      </c>
      <c r="B2818" s="1">
        <v>14100</v>
      </c>
      <c r="C2818" t="s">
        <v>2600</v>
      </c>
      <c r="D2818" t="s">
        <v>2536</v>
      </c>
    </row>
    <row r="2819" spans="1:4" x14ac:dyDescent="0.25">
      <c r="A2819" s="2" t="s">
        <v>2617</v>
      </c>
      <c r="B2819" s="1">
        <v>14080</v>
      </c>
      <c r="C2819" t="s">
        <v>2600</v>
      </c>
      <c r="D2819" t="s">
        <v>2536</v>
      </c>
    </row>
    <row r="2820" spans="1:4" x14ac:dyDescent="0.25">
      <c r="A2820" s="2" t="s">
        <v>2618</v>
      </c>
      <c r="B2820" s="1">
        <v>14099</v>
      </c>
      <c r="C2820" t="s">
        <v>2600</v>
      </c>
      <c r="D2820" t="s">
        <v>2536</v>
      </c>
    </row>
    <row r="2821" spans="1:4" x14ac:dyDescent="0.25">
      <c r="A2821" s="2" t="s">
        <v>2619</v>
      </c>
      <c r="B2821" s="1">
        <v>14085</v>
      </c>
      <c r="C2821" t="s">
        <v>2600</v>
      </c>
      <c r="D2821" t="s">
        <v>2536</v>
      </c>
    </row>
    <row r="2822" spans="1:4" x14ac:dyDescent="0.25">
      <c r="A2822" s="2" t="s">
        <v>2620</v>
      </c>
      <c r="B2822" s="1">
        <v>14085</v>
      </c>
      <c r="C2822" t="s">
        <v>2600</v>
      </c>
      <c r="D2822" t="s">
        <v>2536</v>
      </c>
    </row>
    <row r="2823" spans="1:4" x14ac:dyDescent="0.25">
      <c r="A2823" s="2" t="s">
        <v>2621</v>
      </c>
      <c r="B2823" s="1">
        <v>14085</v>
      </c>
      <c r="C2823" t="s">
        <v>2600</v>
      </c>
      <c r="D2823" t="s">
        <v>2536</v>
      </c>
    </row>
    <row r="2824" spans="1:4" x14ac:dyDescent="0.25">
      <c r="A2824" s="2" t="s">
        <v>2622</v>
      </c>
      <c r="B2824" s="1">
        <v>14077</v>
      </c>
      <c r="C2824" t="s">
        <v>2600</v>
      </c>
      <c r="D2824" t="s">
        <v>2536</v>
      </c>
    </row>
    <row r="2825" spans="1:4" x14ac:dyDescent="0.25">
      <c r="A2825" s="2" t="s">
        <v>2623</v>
      </c>
      <c r="B2825" s="1">
        <v>14099</v>
      </c>
      <c r="C2825" t="s">
        <v>2600</v>
      </c>
      <c r="D2825" t="s">
        <v>2536</v>
      </c>
    </row>
    <row r="2826" spans="1:4" x14ac:dyDescent="0.25">
      <c r="A2826" s="2" t="s">
        <v>2624</v>
      </c>
      <c r="B2826" s="1">
        <v>14134</v>
      </c>
      <c r="C2826" t="s">
        <v>2600</v>
      </c>
      <c r="D2826" t="s">
        <v>2536</v>
      </c>
    </row>
    <row r="2827" spans="1:4" x14ac:dyDescent="0.25">
      <c r="A2827" s="2" t="s">
        <v>2625</v>
      </c>
      <c r="B2827" s="1">
        <v>14162</v>
      </c>
      <c r="C2827" t="s">
        <v>2600</v>
      </c>
      <c r="D2827" t="s">
        <v>2536</v>
      </c>
    </row>
    <row r="2828" spans="1:4" x14ac:dyDescent="0.25">
      <c r="A2828" s="2" t="s">
        <v>2626</v>
      </c>
      <c r="B2828" s="1">
        <v>14197</v>
      </c>
      <c r="C2828" t="s">
        <v>2600</v>
      </c>
      <c r="D2828" t="s">
        <v>2536</v>
      </c>
    </row>
    <row r="2829" spans="1:4" x14ac:dyDescent="0.25">
      <c r="A2829" s="2" t="s">
        <v>2627</v>
      </c>
      <c r="B2829" s="1">
        <v>14197</v>
      </c>
      <c r="C2829" t="s">
        <v>2600</v>
      </c>
      <c r="D2829" t="s">
        <v>2536</v>
      </c>
    </row>
    <row r="2830" spans="1:4" x14ac:dyDescent="0.25">
      <c r="A2830" s="2" t="s">
        <v>2628</v>
      </c>
      <c r="B2830" s="1">
        <v>14197</v>
      </c>
      <c r="C2830" t="s">
        <v>2600</v>
      </c>
      <c r="D2830" t="s">
        <v>2536</v>
      </c>
    </row>
    <row r="2831" spans="1:4" x14ac:dyDescent="0.25">
      <c r="A2831" s="2" t="s">
        <v>2629</v>
      </c>
      <c r="B2831" s="1">
        <v>14174</v>
      </c>
      <c r="C2831" t="s">
        <v>2600</v>
      </c>
      <c r="D2831" t="s">
        <v>2536</v>
      </c>
    </row>
    <row r="2832" spans="1:4" x14ac:dyDescent="0.25">
      <c r="A2832" s="2" t="s">
        <v>2630</v>
      </c>
      <c r="B2832" s="1">
        <v>14196</v>
      </c>
      <c r="C2832" t="s">
        <v>2631</v>
      </c>
      <c r="D2832" t="s">
        <v>2632</v>
      </c>
    </row>
    <row r="2833" spans="1:4" x14ac:dyDescent="0.25">
      <c r="A2833" s="2" t="s">
        <v>2633</v>
      </c>
      <c r="B2833" s="1">
        <v>14207</v>
      </c>
      <c r="C2833" t="s">
        <v>2631</v>
      </c>
      <c r="D2833" t="s">
        <v>2632</v>
      </c>
    </row>
    <row r="2834" spans="1:4" x14ac:dyDescent="0.25">
      <c r="A2834" s="2" t="s">
        <v>2634</v>
      </c>
      <c r="B2834" s="1">
        <v>14193</v>
      </c>
      <c r="C2834" t="s">
        <v>2631</v>
      </c>
      <c r="D2834" t="s">
        <v>2632</v>
      </c>
    </row>
    <row r="2835" spans="1:4" x14ac:dyDescent="0.25">
      <c r="A2835" s="2" t="s">
        <v>2635</v>
      </c>
      <c r="B2835" s="1">
        <v>14135</v>
      </c>
      <c r="C2835" t="s">
        <v>2631</v>
      </c>
      <c r="D2835" t="s">
        <v>2632</v>
      </c>
    </row>
    <row r="2836" spans="1:4" x14ac:dyDescent="0.25">
      <c r="A2836" s="2" t="s">
        <v>2636</v>
      </c>
      <c r="B2836" s="1">
        <v>14135</v>
      </c>
      <c r="C2836" t="s">
        <v>2631</v>
      </c>
      <c r="D2836" t="s">
        <v>2632</v>
      </c>
    </row>
    <row r="2837" spans="1:4" x14ac:dyDescent="0.25">
      <c r="A2837" s="2" t="s">
        <v>2637</v>
      </c>
      <c r="B2837" s="1">
        <v>14135</v>
      </c>
      <c r="C2837" t="s">
        <v>2631</v>
      </c>
      <c r="D2837" t="s">
        <v>2632</v>
      </c>
    </row>
    <row r="2838" spans="1:4" x14ac:dyDescent="0.25">
      <c r="A2838" s="2" t="s">
        <v>2638</v>
      </c>
      <c r="B2838" s="1">
        <v>14156</v>
      </c>
      <c r="C2838" t="s">
        <v>2631</v>
      </c>
      <c r="D2838" t="s">
        <v>2632</v>
      </c>
    </row>
    <row r="2839" spans="1:4" x14ac:dyDescent="0.25">
      <c r="A2839" s="2" t="s">
        <v>2639</v>
      </c>
      <c r="B2839" s="1">
        <v>14170</v>
      </c>
      <c r="C2839" t="s">
        <v>2631</v>
      </c>
      <c r="D2839" t="s">
        <v>2632</v>
      </c>
    </row>
    <row r="2840" spans="1:4" x14ac:dyDescent="0.25">
      <c r="A2840" s="2" t="s">
        <v>2640</v>
      </c>
      <c r="B2840" s="1">
        <v>14182</v>
      </c>
      <c r="C2840" t="s">
        <v>2631</v>
      </c>
      <c r="D2840" t="s">
        <v>2632</v>
      </c>
    </row>
    <row r="2841" spans="1:4" x14ac:dyDescent="0.25">
      <c r="A2841" s="2" t="s">
        <v>2641</v>
      </c>
      <c r="B2841" s="1">
        <v>14157</v>
      </c>
      <c r="C2841" t="s">
        <v>2631</v>
      </c>
      <c r="D2841" t="s">
        <v>2632</v>
      </c>
    </row>
    <row r="2842" spans="1:4" x14ac:dyDescent="0.25">
      <c r="A2842" s="2" t="s">
        <v>2642</v>
      </c>
      <c r="B2842" s="1">
        <v>14139</v>
      </c>
      <c r="C2842" t="s">
        <v>2631</v>
      </c>
      <c r="D2842" t="s">
        <v>2632</v>
      </c>
    </row>
    <row r="2843" spans="1:4" x14ac:dyDescent="0.25">
      <c r="A2843" s="2" t="s">
        <v>2643</v>
      </c>
      <c r="B2843" s="1">
        <v>14139</v>
      </c>
      <c r="C2843" t="s">
        <v>2631</v>
      </c>
      <c r="D2843" t="s">
        <v>2632</v>
      </c>
    </row>
    <row r="2844" spans="1:4" x14ac:dyDescent="0.25">
      <c r="A2844" s="2" t="s">
        <v>2644</v>
      </c>
      <c r="B2844" s="1">
        <v>14139</v>
      </c>
      <c r="C2844" t="s">
        <v>2631</v>
      </c>
      <c r="D2844" t="s">
        <v>2632</v>
      </c>
    </row>
    <row r="2845" spans="1:4" x14ac:dyDescent="0.25">
      <c r="A2845" s="2" t="s">
        <v>2645</v>
      </c>
      <c r="B2845" s="1">
        <v>14126</v>
      </c>
      <c r="C2845" t="s">
        <v>2631</v>
      </c>
      <c r="D2845" t="s">
        <v>2632</v>
      </c>
    </row>
    <row r="2846" spans="1:4" x14ac:dyDescent="0.25">
      <c r="A2846" s="2" t="s">
        <v>2646</v>
      </c>
      <c r="B2846" s="1">
        <v>14140</v>
      </c>
      <c r="C2846" t="s">
        <v>2631</v>
      </c>
      <c r="D2846" t="s">
        <v>2632</v>
      </c>
    </row>
    <row r="2847" spans="1:4" x14ac:dyDescent="0.25">
      <c r="A2847" s="2" t="s">
        <v>2647</v>
      </c>
      <c r="B2847" s="1">
        <v>14187</v>
      </c>
      <c r="C2847" t="s">
        <v>2631</v>
      </c>
      <c r="D2847" t="s">
        <v>2632</v>
      </c>
    </row>
    <row r="2848" spans="1:4" x14ac:dyDescent="0.25">
      <c r="A2848" s="2" t="s">
        <v>2648</v>
      </c>
      <c r="B2848" s="1">
        <v>14172</v>
      </c>
      <c r="C2848" t="s">
        <v>2631</v>
      </c>
      <c r="D2848" t="s">
        <v>2632</v>
      </c>
    </row>
    <row r="2849" spans="1:4" x14ac:dyDescent="0.25">
      <c r="A2849" s="2" t="s">
        <v>2649</v>
      </c>
      <c r="B2849" s="1">
        <v>14140</v>
      </c>
      <c r="C2849" t="s">
        <v>2631</v>
      </c>
      <c r="D2849" t="s">
        <v>2632</v>
      </c>
    </row>
    <row r="2850" spans="1:4" x14ac:dyDescent="0.25">
      <c r="A2850" s="2" t="s">
        <v>2650</v>
      </c>
      <c r="B2850" s="1">
        <v>14140</v>
      </c>
      <c r="C2850" t="s">
        <v>2631</v>
      </c>
      <c r="D2850" t="s">
        <v>2632</v>
      </c>
    </row>
    <row r="2851" spans="1:4" x14ac:dyDescent="0.25">
      <c r="A2851" s="2" t="s">
        <v>2651</v>
      </c>
      <c r="B2851" s="1">
        <v>14140</v>
      </c>
      <c r="C2851" t="s">
        <v>2631</v>
      </c>
      <c r="D2851" t="s">
        <v>2632</v>
      </c>
    </row>
    <row r="2852" spans="1:4" x14ac:dyDescent="0.25">
      <c r="A2852" s="2" t="s">
        <v>2652</v>
      </c>
      <c r="B2852" s="1">
        <v>14132</v>
      </c>
      <c r="C2852" t="s">
        <v>2631</v>
      </c>
      <c r="D2852" t="s">
        <v>2632</v>
      </c>
    </row>
    <row r="2853" spans="1:4" x14ac:dyDescent="0.25">
      <c r="A2853" s="2" t="s">
        <v>2653</v>
      </c>
      <c r="B2853" s="1">
        <v>14058</v>
      </c>
      <c r="C2853" t="s">
        <v>2631</v>
      </c>
      <c r="D2853" t="s">
        <v>2632</v>
      </c>
    </row>
    <row r="2854" spans="1:4" x14ac:dyDescent="0.25">
      <c r="A2854" s="2" t="s">
        <v>2654</v>
      </c>
      <c r="B2854" s="1">
        <v>14051</v>
      </c>
      <c r="C2854" t="s">
        <v>2631</v>
      </c>
      <c r="D2854" t="s">
        <v>2632</v>
      </c>
    </row>
    <row r="2855" spans="1:4" x14ac:dyDescent="0.25">
      <c r="A2855" s="2" t="s">
        <v>2655</v>
      </c>
      <c r="B2855" s="1">
        <v>13996</v>
      </c>
      <c r="C2855" t="s">
        <v>2631</v>
      </c>
      <c r="D2855" t="s">
        <v>2632</v>
      </c>
    </row>
    <row r="2856" spans="1:4" x14ac:dyDescent="0.25">
      <c r="A2856" s="2" t="s">
        <v>2656</v>
      </c>
      <c r="B2856" s="1">
        <v>14064</v>
      </c>
      <c r="C2856" t="s">
        <v>2631</v>
      </c>
      <c r="D2856" t="s">
        <v>2632</v>
      </c>
    </row>
    <row r="2857" spans="1:4" x14ac:dyDescent="0.25">
      <c r="A2857" s="2" t="s">
        <v>2657</v>
      </c>
      <c r="B2857" s="1">
        <v>14064</v>
      </c>
      <c r="C2857" t="s">
        <v>2631</v>
      </c>
      <c r="D2857" t="s">
        <v>2632</v>
      </c>
    </row>
    <row r="2858" spans="1:4" x14ac:dyDescent="0.25">
      <c r="A2858" s="2" t="s">
        <v>2658</v>
      </c>
      <c r="B2858" s="1">
        <v>14064</v>
      </c>
      <c r="C2858" t="s">
        <v>2631</v>
      </c>
      <c r="D2858" t="s">
        <v>2632</v>
      </c>
    </row>
    <row r="2859" spans="1:4" x14ac:dyDescent="0.25">
      <c r="A2859" s="2" t="s">
        <v>2659</v>
      </c>
      <c r="B2859" s="1">
        <v>14023</v>
      </c>
      <c r="C2859" t="s">
        <v>2631</v>
      </c>
      <c r="D2859" t="s">
        <v>2632</v>
      </c>
    </row>
    <row r="2860" spans="1:4" x14ac:dyDescent="0.25">
      <c r="A2860" s="2" t="s">
        <v>2660</v>
      </c>
      <c r="B2860" s="1">
        <v>14028</v>
      </c>
      <c r="C2860" t="s">
        <v>2631</v>
      </c>
      <c r="D2860" t="s">
        <v>2632</v>
      </c>
    </row>
    <row r="2861" spans="1:4" x14ac:dyDescent="0.25">
      <c r="A2861" s="2" t="s">
        <v>2661</v>
      </c>
      <c r="B2861" s="1">
        <v>14044</v>
      </c>
      <c r="C2861" t="s">
        <v>2631</v>
      </c>
      <c r="D2861" t="s">
        <v>2632</v>
      </c>
    </row>
    <row r="2862" spans="1:4" x14ac:dyDescent="0.25">
      <c r="A2862" s="2" t="s">
        <v>2662</v>
      </c>
      <c r="B2862" s="1">
        <v>14008</v>
      </c>
      <c r="C2862" t="s">
        <v>2631</v>
      </c>
      <c r="D2862" t="s">
        <v>2632</v>
      </c>
    </row>
    <row r="2863" spans="1:4" x14ac:dyDescent="0.25">
      <c r="A2863" s="2" t="s">
        <v>2663</v>
      </c>
      <c r="B2863" s="1">
        <v>14066</v>
      </c>
      <c r="C2863" t="s">
        <v>2664</v>
      </c>
      <c r="D2863" t="s">
        <v>2632</v>
      </c>
    </row>
    <row r="2864" spans="1:4" x14ac:dyDescent="0.25">
      <c r="A2864" s="2" t="s">
        <v>2665</v>
      </c>
      <c r="B2864" s="1">
        <v>14066</v>
      </c>
      <c r="C2864" t="s">
        <v>2664</v>
      </c>
      <c r="D2864" t="s">
        <v>2632</v>
      </c>
    </row>
    <row r="2865" spans="1:4" x14ac:dyDescent="0.25">
      <c r="A2865" s="2" t="s">
        <v>2666</v>
      </c>
      <c r="B2865" s="1">
        <v>14066</v>
      </c>
      <c r="C2865" t="s">
        <v>2664</v>
      </c>
      <c r="D2865" t="s">
        <v>2632</v>
      </c>
    </row>
    <row r="2866" spans="1:4" x14ac:dyDescent="0.25">
      <c r="A2866" s="2" t="s">
        <v>2667</v>
      </c>
      <c r="B2866" s="1">
        <v>14002</v>
      </c>
      <c r="C2866" t="s">
        <v>2664</v>
      </c>
      <c r="D2866" t="s">
        <v>2632</v>
      </c>
    </row>
    <row r="2867" spans="1:4" x14ac:dyDescent="0.25">
      <c r="A2867" s="2" t="s">
        <v>2668</v>
      </c>
      <c r="B2867" s="1">
        <v>14031</v>
      </c>
      <c r="C2867" t="s">
        <v>2664</v>
      </c>
      <c r="D2867" t="s">
        <v>2632</v>
      </c>
    </row>
    <row r="2868" spans="1:4" x14ac:dyDescent="0.25">
      <c r="A2868" s="2" t="s">
        <v>2669</v>
      </c>
      <c r="B2868" s="1">
        <v>13992</v>
      </c>
      <c r="C2868" t="s">
        <v>2664</v>
      </c>
      <c r="D2868" t="s">
        <v>2632</v>
      </c>
    </row>
    <row r="2869" spans="1:4" x14ac:dyDescent="0.25">
      <c r="A2869" s="2" t="s">
        <v>2670</v>
      </c>
      <c r="B2869" s="1">
        <v>14040</v>
      </c>
      <c r="C2869" t="s">
        <v>2664</v>
      </c>
      <c r="D2869" t="s">
        <v>2632</v>
      </c>
    </row>
    <row r="2870" spans="1:4" x14ac:dyDescent="0.25">
      <c r="A2870" s="2" t="s">
        <v>2671</v>
      </c>
      <c r="B2870" s="1">
        <v>14020</v>
      </c>
      <c r="C2870" t="s">
        <v>2664</v>
      </c>
      <c r="D2870" t="s">
        <v>2632</v>
      </c>
    </row>
    <row r="2871" spans="1:4" x14ac:dyDescent="0.25">
      <c r="A2871" s="2" t="s">
        <v>2672</v>
      </c>
      <c r="B2871" s="1">
        <v>14020</v>
      </c>
      <c r="C2871" t="s">
        <v>2664</v>
      </c>
      <c r="D2871" t="s">
        <v>2632</v>
      </c>
    </row>
    <row r="2872" spans="1:4" x14ac:dyDescent="0.25">
      <c r="A2872" s="2" t="s">
        <v>2673</v>
      </c>
      <c r="B2872" s="1">
        <v>14020</v>
      </c>
      <c r="C2872" t="s">
        <v>2664</v>
      </c>
      <c r="D2872" t="s">
        <v>2632</v>
      </c>
    </row>
    <row r="2873" spans="1:4" x14ac:dyDescent="0.25">
      <c r="A2873" s="2" t="s">
        <v>2674</v>
      </c>
      <c r="B2873" s="1">
        <v>14040</v>
      </c>
      <c r="C2873" t="s">
        <v>2664</v>
      </c>
      <c r="D2873" t="s">
        <v>2632</v>
      </c>
    </row>
    <row r="2874" spans="1:4" x14ac:dyDescent="0.25">
      <c r="A2874" s="2" t="s">
        <v>2675</v>
      </c>
      <c r="B2874" s="1">
        <v>14059</v>
      </c>
      <c r="C2874" t="s">
        <v>2664</v>
      </c>
      <c r="D2874" t="s">
        <v>2632</v>
      </c>
    </row>
    <row r="2875" spans="1:4" x14ac:dyDescent="0.25">
      <c r="A2875" s="2" t="s">
        <v>2676</v>
      </c>
      <c r="B2875" s="1">
        <v>14082</v>
      </c>
      <c r="C2875" t="s">
        <v>2664</v>
      </c>
      <c r="D2875" t="s">
        <v>2632</v>
      </c>
    </row>
    <row r="2876" spans="1:4" x14ac:dyDescent="0.25">
      <c r="A2876" s="2" t="s">
        <v>2677</v>
      </c>
      <c r="B2876" s="1">
        <v>14098</v>
      </c>
      <c r="C2876" t="s">
        <v>2664</v>
      </c>
      <c r="D2876" t="s">
        <v>2632</v>
      </c>
    </row>
    <row r="2877" spans="1:4" x14ac:dyDescent="0.25">
      <c r="A2877" s="2" t="s">
        <v>2678</v>
      </c>
      <c r="B2877" s="1">
        <v>14069</v>
      </c>
      <c r="C2877" t="s">
        <v>2664</v>
      </c>
      <c r="D2877" t="s">
        <v>2632</v>
      </c>
    </row>
    <row r="2878" spans="1:4" x14ac:dyDescent="0.25">
      <c r="A2878" s="2" t="s">
        <v>2679</v>
      </c>
      <c r="B2878" s="1">
        <v>14069</v>
      </c>
      <c r="C2878" t="s">
        <v>2664</v>
      </c>
      <c r="D2878" t="s">
        <v>2632</v>
      </c>
    </row>
    <row r="2879" spans="1:4" x14ac:dyDescent="0.25">
      <c r="A2879" s="2" t="s">
        <v>2680</v>
      </c>
      <c r="B2879" s="1">
        <v>14069</v>
      </c>
      <c r="C2879" t="s">
        <v>2664</v>
      </c>
      <c r="D2879" t="s">
        <v>2632</v>
      </c>
    </row>
    <row r="2880" spans="1:4" x14ac:dyDescent="0.25">
      <c r="A2880" s="2" t="s">
        <v>2681</v>
      </c>
      <c r="B2880" s="1">
        <v>14075</v>
      </c>
      <c r="C2880" t="s">
        <v>2664</v>
      </c>
      <c r="D2880" t="s">
        <v>2632</v>
      </c>
    </row>
    <row r="2881" spans="1:4" x14ac:dyDescent="0.25">
      <c r="A2881" s="2" t="s">
        <v>2682</v>
      </c>
      <c r="B2881" s="1">
        <v>14091</v>
      </c>
      <c r="C2881" t="s">
        <v>2664</v>
      </c>
      <c r="D2881" t="s">
        <v>2632</v>
      </c>
    </row>
    <row r="2882" spans="1:4" x14ac:dyDescent="0.25">
      <c r="A2882" s="2" t="s">
        <v>2683</v>
      </c>
      <c r="B2882" s="1">
        <v>14097</v>
      </c>
      <c r="C2882" t="s">
        <v>2664</v>
      </c>
      <c r="D2882" t="s">
        <v>2632</v>
      </c>
    </row>
    <row r="2883" spans="1:4" x14ac:dyDescent="0.25">
      <c r="A2883" s="2" t="s">
        <v>2684</v>
      </c>
      <c r="B2883" s="1">
        <v>14112</v>
      </c>
      <c r="C2883" t="s">
        <v>2664</v>
      </c>
      <c r="D2883" t="s">
        <v>2632</v>
      </c>
    </row>
    <row r="2884" spans="1:4" x14ac:dyDescent="0.25">
      <c r="A2884" s="2" t="s">
        <v>2685</v>
      </c>
      <c r="B2884" s="1">
        <v>14100</v>
      </c>
      <c r="C2884" t="s">
        <v>2664</v>
      </c>
      <c r="D2884" t="s">
        <v>2632</v>
      </c>
    </row>
    <row r="2885" spans="1:4" x14ac:dyDescent="0.25">
      <c r="A2885" s="2" t="s">
        <v>2686</v>
      </c>
      <c r="B2885" s="1">
        <v>14100</v>
      </c>
      <c r="C2885" t="s">
        <v>2664</v>
      </c>
      <c r="D2885" t="s">
        <v>2632</v>
      </c>
    </row>
    <row r="2886" spans="1:4" x14ac:dyDescent="0.25">
      <c r="A2886" s="2" t="s">
        <v>2687</v>
      </c>
      <c r="B2886" s="1">
        <v>14100</v>
      </c>
      <c r="C2886" t="s">
        <v>2664</v>
      </c>
      <c r="D2886" t="s">
        <v>2632</v>
      </c>
    </row>
    <row r="2887" spans="1:4" x14ac:dyDescent="0.25">
      <c r="A2887" s="2" t="s">
        <v>2688</v>
      </c>
      <c r="B2887" s="1">
        <v>14091</v>
      </c>
      <c r="C2887" t="s">
        <v>2664</v>
      </c>
      <c r="D2887" t="s">
        <v>2632</v>
      </c>
    </row>
    <row r="2888" spans="1:4" x14ac:dyDescent="0.25">
      <c r="A2888" s="2" t="s">
        <v>2689</v>
      </c>
      <c r="B2888" s="1">
        <v>14081</v>
      </c>
      <c r="C2888" t="s">
        <v>2664</v>
      </c>
      <c r="D2888" t="s">
        <v>2632</v>
      </c>
    </row>
    <row r="2889" spans="1:4" x14ac:dyDescent="0.25">
      <c r="A2889" s="2" t="s">
        <v>2690</v>
      </c>
      <c r="B2889" s="1">
        <v>14096</v>
      </c>
      <c r="C2889" t="s">
        <v>2664</v>
      </c>
      <c r="D2889" t="s">
        <v>2632</v>
      </c>
    </row>
    <row r="2890" spans="1:4" x14ac:dyDescent="0.25">
      <c r="A2890" s="2" t="s">
        <v>2691</v>
      </c>
      <c r="B2890" s="1">
        <v>14099</v>
      </c>
      <c r="C2890" t="s">
        <v>2664</v>
      </c>
      <c r="D2890" t="s">
        <v>2632</v>
      </c>
    </row>
    <row r="2891" spans="1:4" x14ac:dyDescent="0.25">
      <c r="A2891" s="2" t="s">
        <v>2692</v>
      </c>
      <c r="B2891" s="1">
        <v>14102</v>
      </c>
      <c r="C2891" t="s">
        <v>2664</v>
      </c>
      <c r="D2891" t="s">
        <v>2632</v>
      </c>
    </row>
    <row r="2892" spans="1:4" x14ac:dyDescent="0.25">
      <c r="A2892" s="2" t="s">
        <v>2693</v>
      </c>
      <c r="B2892" s="1">
        <v>14102</v>
      </c>
      <c r="C2892" t="s">
        <v>2664</v>
      </c>
      <c r="D2892" t="s">
        <v>2632</v>
      </c>
    </row>
    <row r="2893" spans="1:4" x14ac:dyDescent="0.25">
      <c r="A2893" s="2" t="s">
        <v>2694</v>
      </c>
      <c r="B2893" s="1">
        <v>14102</v>
      </c>
      <c r="C2893" t="s">
        <v>2695</v>
      </c>
      <c r="D2893" t="s">
        <v>2632</v>
      </c>
    </row>
    <row r="2894" spans="1:4" x14ac:dyDescent="0.25">
      <c r="A2894" s="2" t="s">
        <v>2696</v>
      </c>
      <c r="B2894" s="1">
        <v>14122</v>
      </c>
      <c r="C2894" t="s">
        <v>2695</v>
      </c>
      <c r="D2894" t="s">
        <v>2632</v>
      </c>
    </row>
    <row r="2895" spans="1:4" x14ac:dyDescent="0.25">
      <c r="A2895" s="2" t="s">
        <v>2697</v>
      </c>
      <c r="B2895" s="1">
        <v>14130</v>
      </c>
      <c r="C2895" t="s">
        <v>2695</v>
      </c>
      <c r="D2895" t="s">
        <v>2632</v>
      </c>
    </row>
    <row r="2896" spans="1:4" x14ac:dyDescent="0.25">
      <c r="A2896" s="2" t="s">
        <v>2698</v>
      </c>
      <c r="B2896" s="1">
        <v>14125</v>
      </c>
      <c r="C2896" t="s">
        <v>2695</v>
      </c>
      <c r="D2896" t="s">
        <v>2632</v>
      </c>
    </row>
    <row r="2897" spans="1:4" x14ac:dyDescent="0.25">
      <c r="A2897" s="2" t="s">
        <v>2699</v>
      </c>
      <c r="B2897" s="1">
        <v>14094</v>
      </c>
      <c r="C2897" t="s">
        <v>2695</v>
      </c>
      <c r="D2897" t="s">
        <v>2632</v>
      </c>
    </row>
    <row r="2898" spans="1:4" x14ac:dyDescent="0.25">
      <c r="A2898" s="2" t="s">
        <v>2700</v>
      </c>
      <c r="B2898" s="1">
        <v>14037</v>
      </c>
      <c r="C2898" t="s">
        <v>2695</v>
      </c>
      <c r="D2898" t="s">
        <v>2632</v>
      </c>
    </row>
    <row r="2899" spans="1:4" x14ac:dyDescent="0.25">
      <c r="A2899" s="2" t="s">
        <v>2701</v>
      </c>
      <c r="B2899" s="1">
        <v>14037</v>
      </c>
      <c r="C2899" t="s">
        <v>2695</v>
      </c>
      <c r="D2899" t="s">
        <v>2632</v>
      </c>
    </row>
    <row r="2900" spans="1:4" x14ac:dyDescent="0.25">
      <c r="A2900" s="2" t="s">
        <v>2702</v>
      </c>
      <c r="B2900" s="1">
        <v>14037</v>
      </c>
      <c r="C2900" t="s">
        <v>2695</v>
      </c>
      <c r="D2900" t="s">
        <v>2632</v>
      </c>
    </row>
    <row r="2901" spans="1:4" x14ac:dyDescent="0.25">
      <c r="A2901" s="2" t="s">
        <v>2703</v>
      </c>
      <c r="B2901" s="1">
        <v>14021</v>
      </c>
      <c r="C2901" t="s">
        <v>2695</v>
      </c>
      <c r="D2901" t="s">
        <v>2632</v>
      </c>
    </row>
    <row r="2902" spans="1:4" x14ac:dyDescent="0.25">
      <c r="A2902" s="2" t="s">
        <v>2704</v>
      </c>
      <c r="B2902" s="1">
        <v>14004</v>
      </c>
      <c r="C2902" t="s">
        <v>2695</v>
      </c>
      <c r="D2902" t="s">
        <v>2632</v>
      </c>
    </row>
    <row r="2903" spans="1:4" x14ac:dyDescent="0.25">
      <c r="A2903" s="2" t="s">
        <v>2705</v>
      </c>
      <c r="B2903" s="1">
        <v>14025</v>
      </c>
      <c r="C2903" t="s">
        <v>2695</v>
      </c>
      <c r="D2903" t="s">
        <v>2632</v>
      </c>
    </row>
    <row r="2904" spans="1:4" x14ac:dyDescent="0.25">
      <c r="A2904" s="2" t="s">
        <v>2706</v>
      </c>
      <c r="B2904" s="1">
        <v>14042</v>
      </c>
      <c r="C2904" t="s">
        <v>2695</v>
      </c>
      <c r="D2904" t="s">
        <v>2632</v>
      </c>
    </row>
    <row r="2905" spans="1:4" x14ac:dyDescent="0.25">
      <c r="A2905" s="2" t="s">
        <v>2707</v>
      </c>
      <c r="B2905" s="1">
        <v>13982</v>
      </c>
      <c r="C2905" t="s">
        <v>2695</v>
      </c>
      <c r="D2905" t="s">
        <v>2632</v>
      </c>
    </row>
    <row r="2906" spans="1:4" x14ac:dyDescent="0.25">
      <c r="A2906" s="2" t="s">
        <v>2708</v>
      </c>
      <c r="B2906" s="1">
        <v>13982</v>
      </c>
      <c r="C2906" t="s">
        <v>2695</v>
      </c>
      <c r="D2906" t="s">
        <v>2632</v>
      </c>
    </row>
    <row r="2907" spans="1:4" x14ac:dyDescent="0.25">
      <c r="A2907" s="2" t="s">
        <v>2709</v>
      </c>
      <c r="B2907" s="1">
        <v>13982</v>
      </c>
      <c r="C2907" t="s">
        <v>2695</v>
      </c>
      <c r="D2907" t="s">
        <v>2632</v>
      </c>
    </row>
    <row r="2908" spans="1:4" x14ac:dyDescent="0.25">
      <c r="A2908" s="2" t="s">
        <v>2710</v>
      </c>
      <c r="B2908" s="1">
        <v>14004</v>
      </c>
      <c r="C2908" t="s">
        <v>2695</v>
      </c>
      <c r="D2908" t="s">
        <v>2632</v>
      </c>
    </row>
    <row r="2909" spans="1:4" x14ac:dyDescent="0.25">
      <c r="A2909" s="2" t="s">
        <v>2711</v>
      </c>
      <c r="B2909" s="1">
        <v>14018</v>
      </c>
      <c r="C2909" t="s">
        <v>2695</v>
      </c>
      <c r="D2909" t="s">
        <v>2632</v>
      </c>
    </row>
    <row r="2910" spans="1:4" x14ac:dyDescent="0.25">
      <c r="A2910" s="2" t="s">
        <v>2712</v>
      </c>
      <c r="B2910" s="1">
        <v>14007</v>
      </c>
      <c r="C2910" t="s">
        <v>2695</v>
      </c>
      <c r="D2910" t="s">
        <v>2632</v>
      </c>
    </row>
    <row r="2911" spans="1:4" x14ac:dyDescent="0.25">
      <c r="A2911" s="2" t="s">
        <v>2713</v>
      </c>
      <c r="B2911" s="1">
        <v>13983</v>
      </c>
      <c r="C2911" t="s">
        <v>2695</v>
      </c>
      <c r="D2911" t="s">
        <v>2632</v>
      </c>
    </row>
    <row r="2912" spans="1:4" x14ac:dyDescent="0.25">
      <c r="A2912" s="2" t="s">
        <v>2714</v>
      </c>
      <c r="B2912" s="1">
        <v>13993</v>
      </c>
      <c r="C2912" t="s">
        <v>2695</v>
      </c>
      <c r="D2912" t="s">
        <v>2632</v>
      </c>
    </row>
    <row r="2913" spans="1:4" x14ac:dyDescent="0.25">
      <c r="A2913" s="2" t="s">
        <v>2715</v>
      </c>
      <c r="B2913" s="1">
        <v>13993</v>
      </c>
      <c r="C2913" t="s">
        <v>2695</v>
      </c>
      <c r="D2913" t="s">
        <v>2632</v>
      </c>
    </row>
    <row r="2914" spans="1:4" x14ac:dyDescent="0.25">
      <c r="A2914" s="2" t="s">
        <v>2716</v>
      </c>
      <c r="B2914" s="1">
        <v>13993</v>
      </c>
      <c r="C2914" t="s">
        <v>2695</v>
      </c>
      <c r="D2914" t="s">
        <v>2632</v>
      </c>
    </row>
    <row r="2915" spans="1:4" x14ac:dyDescent="0.25">
      <c r="A2915" s="2" t="s">
        <v>2717</v>
      </c>
      <c r="B2915" s="1">
        <v>13978</v>
      </c>
      <c r="C2915" t="s">
        <v>2695</v>
      </c>
      <c r="D2915" t="s">
        <v>2632</v>
      </c>
    </row>
    <row r="2916" spans="1:4" x14ac:dyDescent="0.25">
      <c r="A2916" s="2" t="s">
        <v>2718</v>
      </c>
      <c r="B2916" s="1">
        <v>13978</v>
      </c>
      <c r="C2916" t="s">
        <v>2695</v>
      </c>
      <c r="D2916" t="s">
        <v>2632</v>
      </c>
    </row>
    <row r="2917" spans="1:4" x14ac:dyDescent="0.25">
      <c r="A2917" s="2" t="s">
        <v>2719</v>
      </c>
      <c r="B2917" s="1">
        <v>13978</v>
      </c>
      <c r="C2917" t="s">
        <v>2695</v>
      </c>
      <c r="D2917" t="s">
        <v>2632</v>
      </c>
    </row>
    <row r="2918" spans="1:4" x14ac:dyDescent="0.25">
      <c r="A2918" s="2" t="s">
        <v>2720</v>
      </c>
      <c r="B2918" s="1">
        <v>13982</v>
      </c>
      <c r="C2918" t="s">
        <v>2695</v>
      </c>
      <c r="D2918" t="s">
        <v>2632</v>
      </c>
    </row>
    <row r="2919" spans="1:4" x14ac:dyDescent="0.25">
      <c r="A2919" s="2" t="s">
        <v>2721</v>
      </c>
      <c r="B2919" s="1">
        <v>13956</v>
      </c>
      <c r="C2919" t="s">
        <v>2695</v>
      </c>
      <c r="D2919" t="s">
        <v>2632</v>
      </c>
    </row>
    <row r="2920" spans="1:4" x14ac:dyDescent="0.25">
      <c r="A2920" s="2" t="s">
        <v>2722</v>
      </c>
      <c r="B2920" s="1">
        <v>13956</v>
      </c>
      <c r="C2920" t="s">
        <v>2695</v>
      </c>
      <c r="D2920" t="s">
        <v>2632</v>
      </c>
    </row>
    <row r="2921" spans="1:4" x14ac:dyDescent="0.25">
      <c r="A2921" s="2" t="s">
        <v>2723</v>
      </c>
      <c r="B2921" s="1">
        <v>13956</v>
      </c>
      <c r="C2921" t="s">
        <v>2695</v>
      </c>
      <c r="D2921" t="s">
        <v>2632</v>
      </c>
    </row>
    <row r="2922" spans="1:4" x14ac:dyDescent="0.25">
      <c r="A2922" s="2" t="s">
        <v>2724</v>
      </c>
      <c r="B2922" s="1">
        <v>13945</v>
      </c>
      <c r="C2922" t="s">
        <v>2695</v>
      </c>
      <c r="D2922" t="s">
        <v>2632</v>
      </c>
    </row>
    <row r="2923" spans="1:4" x14ac:dyDescent="0.25">
      <c r="A2923" s="2" t="s">
        <v>2725</v>
      </c>
      <c r="B2923" s="1">
        <v>13901</v>
      </c>
      <c r="C2923" t="s">
        <v>2695</v>
      </c>
      <c r="D2923" t="s">
        <v>2632</v>
      </c>
    </row>
    <row r="2924" spans="1:4" x14ac:dyDescent="0.25">
      <c r="A2924" s="2" t="s">
        <v>2726</v>
      </c>
      <c r="B2924" s="1">
        <v>13901</v>
      </c>
      <c r="C2924" t="s">
        <v>2727</v>
      </c>
      <c r="D2924" t="s">
        <v>2728</v>
      </c>
    </row>
    <row r="2925" spans="1:4" x14ac:dyDescent="0.25">
      <c r="A2925" s="2" t="s">
        <v>2729</v>
      </c>
      <c r="B2925" s="1">
        <v>13895</v>
      </c>
      <c r="C2925" t="s">
        <v>2727</v>
      </c>
      <c r="D2925" t="s">
        <v>2728</v>
      </c>
    </row>
    <row r="2926" spans="1:4" x14ac:dyDescent="0.25">
      <c r="A2926" s="2" t="s">
        <v>2730</v>
      </c>
      <c r="B2926" s="1">
        <v>13899</v>
      </c>
      <c r="C2926" t="s">
        <v>2727</v>
      </c>
      <c r="D2926" t="s">
        <v>2728</v>
      </c>
    </row>
    <row r="2927" spans="1:4" x14ac:dyDescent="0.25">
      <c r="A2927" s="2" t="s">
        <v>2731</v>
      </c>
      <c r="B2927" s="1">
        <v>13899</v>
      </c>
      <c r="C2927" t="s">
        <v>2727</v>
      </c>
      <c r="D2927" t="s">
        <v>2728</v>
      </c>
    </row>
    <row r="2928" spans="1:4" x14ac:dyDescent="0.25">
      <c r="A2928" s="2" t="s">
        <v>2732</v>
      </c>
      <c r="B2928" s="1">
        <v>13899</v>
      </c>
      <c r="C2928" t="s">
        <v>2727</v>
      </c>
      <c r="D2928" t="s">
        <v>2728</v>
      </c>
    </row>
    <row r="2929" spans="1:4" x14ac:dyDescent="0.25">
      <c r="A2929" s="2" t="s">
        <v>2733</v>
      </c>
      <c r="B2929" s="1">
        <v>13961</v>
      </c>
      <c r="C2929" t="s">
        <v>2727</v>
      </c>
      <c r="D2929" t="s">
        <v>2728</v>
      </c>
    </row>
    <row r="2930" spans="1:4" x14ac:dyDescent="0.25">
      <c r="A2930" s="2" t="s">
        <v>2734</v>
      </c>
      <c r="B2930" s="1">
        <v>13919</v>
      </c>
      <c r="C2930" t="s">
        <v>2727</v>
      </c>
      <c r="D2930" t="s">
        <v>2728</v>
      </c>
    </row>
    <row r="2931" spans="1:4" x14ac:dyDescent="0.25">
      <c r="A2931" s="2" t="s">
        <v>2735</v>
      </c>
      <c r="B2931" s="1">
        <v>13934</v>
      </c>
      <c r="C2931" t="s">
        <v>2727</v>
      </c>
      <c r="D2931" t="s">
        <v>2728</v>
      </c>
    </row>
    <row r="2932" spans="1:4" x14ac:dyDescent="0.25">
      <c r="A2932" s="2" t="s">
        <v>2736</v>
      </c>
      <c r="B2932" s="1">
        <v>13860</v>
      </c>
      <c r="C2932" t="s">
        <v>2727</v>
      </c>
      <c r="D2932" t="s">
        <v>2728</v>
      </c>
    </row>
    <row r="2933" spans="1:4" x14ac:dyDescent="0.25">
      <c r="A2933" s="2" t="s">
        <v>2737</v>
      </c>
      <c r="B2933" s="1">
        <v>13812</v>
      </c>
      <c r="C2933" t="s">
        <v>2727</v>
      </c>
      <c r="D2933" t="s">
        <v>2728</v>
      </c>
    </row>
    <row r="2934" spans="1:4" x14ac:dyDescent="0.25">
      <c r="A2934" s="2" t="s">
        <v>2738</v>
      </c>
      <c r="B2934" s="1">
        <v>13812</v>
      </c>
      <c r="C2934" t="s">
        <v>2727</v>
      </c>
      <c r="D2934" t="s">
        <v>2728</v>
      </c>
    </row>
    <row r="2935" spans="1:4" x14ac:dyDescent="0.25">
      <c r="A2935" s="2" t="s">
        <v>2739</v>
      </c>
      <c r="B2935" s="1">
        <v>13812</v>
      </c>
      <c r="C2935" t="s">
        <v>2727</v>
      </c>
      <c r="D2935" t="s">
        <v>2728</v>
      </c>
    </row>
    <row r="2936" spans="1:4" x14ac:dyDescent="0.25">
      <c r="A2936" s="2" t="s">
        <v>2740</v>
      </c>
      <c r="B2936" s="1">
        <v>13708</v>
      </c>
      <c r="C2936" t="s">
        <v>2727</v>
      </c>
      <c r="D2936" t="s">
        <v>2728</v>
      </c>
    </row>
    <row r="2937" spans="1:4" x14ac:dyDescent="0.25">
      <c r="A2937" s="2" t="s">
        <v>2741</v>
      </c>
      <c r="B2937" s="1">
        <v>13654</v>
      </c>
      <c r="C2937" t="s">
        <v>2727</v>
      </c>
      <c r="D2937" t="s">
        <v>2728</v>
      </c>
    </row>
    <row r="2938" spans="1:4" x14ac:dyDescent="0.25">
      <c r="A2938" s="2" t="s">
        <v>2742</v>
      </c>
      <c r="B2938" s="1">
        <v>13706</v>
      </c>
      <c r="C2938" t="s">
        <v>2727</v>
      </c>
      <c r="D2938" t="s">
        <v>2728</v>
      </c>
    </row>
    <row r="2939" spans="1:4" x14ac:dyDescent="0.25">
      <c r="A2939" s="2" t="s">
        <v>2743</v>
      </c>
      <c r="B2939" s="1">
        <v>13658</v>
      </c>
      <c r="C2939" t="s">
        <v>2727</v>
      </c>
      <c r="D2939" t="s">
        <v>2728</v>
      </c>
    </row>
    <row r="2940" spans="1:4" x14ac:dyDescent="0.25">
      <c r="A2940" s="2" t="s">
        <v>2744</v>
      </c>
      <c r="B2940" s="1">
        <v>13648</v>
      </c>
      <c r="C2940" t="s">
        <v>2727</v>
      </c>
      <c r="D2940" t="s">
        <v>2728</v>
      </c>
    </row>
    <row r="2941" spans="1:4" x14ac:dyDescent="0.25">
      <c r="A2941" s="2" t="s">
        <v>2745</v>
      </c>
      <c r="B2941" s="1">
        <v>13648</v>
      </c>
      <c r="C2941" t="s">
        <v>2727</v>
      </c>
      <c r="D2941" t="s">
        <v>2728</v>
      </c>
    </row>
    <row r="2942" spans="1:4" x14ac:dyDescent="0.25">
      <c r="A2942" s="2" t="s">
        <v>2746</v>
      </c>
      <c r="B2942" s="1">
        <v>13648</v>
      </c>
      <c r="C2942" t="s">
        <v>2727</v>
      </c>
      <c r="D2942" t="s">
        <v>2728</v>
      </c>
    </row>
    <row r="2943" spans="1:4" x14ac:dyDescent="0.25">
      <c r="A2943" s="2" t="s">
        <v>2747</v>
      </c>
      <c r="B2943" s="1">
        <v>13654</v>
      </c>
      <c r="C2943" t="s">
        <v>2727</v>
      </c>
      <c r="D2943" t="s">
        <v>2728</v>
      </c>
    </row>
    <row r="2944" spans="1:4" x14ac:dyDescent="0.25">
      <c r="A2944" s="2" t="s">
        <v>2748</v>
      </c>
      <c r="B2944" s="1">
        <v>13658</v>
      </c>
      <c r="C2944" t="s">
        <v>2727</v>
      </c>
      <c r="D2944" t="s">
        <v>2728</v>
      </c>
    </row>
    <row r="2945" spans="1:4" x14ac:dyDescent="0.25">
      <c r="A2945" s="2" t="s">
        <v>2749</v>
      </c>
      <c r="B2945" s="1">
        <v>13678</v>
      </c>
      <c r="C2945" t="s">
        <v>2727</v>
      </c>
      <c r="D2945" t="s">
        <v>2728</v>
      </c>
    </row>
    <row r="2946" spans="1:4" x14ac:dyDescent="0.25">
      <c r="A2946" s="2" t="s">
        <v>2750</v>
      </c>
      <c r="B2946" s="1">
        <v>13626</v>
      </c>
      <c r="C2946" t="s">
        <v>2727</v>
      </c>
      <c r="D2946" t="s">
        <v>2728</v>
      </c>
    </row>
    <row r="2947" spans="1:4" x14ac:dyDescent="0.25">
      <c r="A2947" s="2" t="s">
        <v>2751</v>
      </c>
      <c r="B2947" s="1">
        <v>13632</v>
      </c>
      <c r="C2947" t="s">
        <v>2727</v>
      </c>
      <c r="D2947" t="s">
        <v>2728</v>
      </c>
    </row>
    <row r="2948" spans="1:4" x14ac:dyDescent="0.25">
      <c r="A2948" s="2" t="s">
        <v>2752</v>
      </c>
      <c r="B2948" s="1">
        <v>13632</v>
      </c>
      <c r="C2948" t="s">
        <v>2727</v>
      </c>
      <c r="D2948" t="s">
        <v>2728</v>
      </c>
    </row>
    <row r="2949" spans="1:4" x14ac:dyDescent="0.25">
      <c r="A2949" s="2" t="s">
        <v>2753</v>
      </c>
      <c r="B2949" s="1">
        <v>13632</v>
      </c>
      <c r="C2949" t="s">
        <v>2727</v>
      </c>
      <c r="D2949" t="s">
        <v>2728</v>
      </c>
    </row>
    <row r="2950" spans="1:4" x14ac:dyDescent="0.25">
      <c r="A2950" s="2" t="s">
        <v>2754</v>
      </c>
      <c r="B2950" s="1">
        <v>13612</v>
      </c>
      <c r="C2950" t="s">
        <v>2727</v>
      </c>
      <c r="D2950" t="s">
        <v>2728</v>
      </c>
    </row>
    <row r="2951" spans="1:4" x14ac:dyDescent="0.25">
      <c r="A2951" s="2" t="s">
        <v>2755</v>
      </c>
      <c r="B2951" s="1">
        <v>13647</v>
      </c>
      <c r="C2951" t="s">
        <v>2727</v>
      </c>
      <c r="D2951" t="s">
        <v>2728</v>
      </c>
    </row>
    <row r="2952" spans="1:4" x14ac:dyDescent="0.25">
      <c r="A2952" s="2" t="s">
        <v>2756</v>
      </c>
      <c r="B2952" s="1">
        <v>13634</v>
      </c>
      <c r="C2952" t="s">
        <v>2727</v>
      </c>
      <c r="D2952" t="s">
        <v>2728</v>
      </c>
    </row>
    <row r="2953" spans="1:4" x14ac:dyDescent="0.25">
      <c r="A2953" s="2" t="s">
        <v>2757</v>
      </c>
      <c r="B2953" s="1">
        <v>13652</v>
      </c>
      <c r="C2953" t="s">
        <v>2727</v>
      </c>
      <c r="D2953" t="s">
        <v>2728</v>
      </c>
    </row>
    <row r="2954" spans="1:4" x14ac:dyDescent="0.25">
      <c r="A2954" s="2" t="s">
        <v>2758</v>
      </c>
      <c r="B2954" s="1">
        <v>13662</v>
      </c>
      <c r="C2954" t="s">
        <v>2727</v>
      </c>
      <c r="D2954" t="s">
        <v>2728</v>
      </c>
    </row>
    <row r="2955" spans="1:4" x14ac:dyDescent="0.25">
      <c r="A2955" s="2" t="s">
        <v>2759</v>
      </c>
      <c r="B2955" s="1">
        <v>13662</v>
      </c>
      <c r="C2955" t="s">
        <v>2760</v>
      </c>
      <c r="D2955" t="s">
        <v>2728</v>
      </c>
    </row>
    <row r="2956" spans="1:4" x14ac:dyDescent="0.25">
      <c r="A2956" s="2" t="s">
        <v>2761</v>
      </c>
      <c r="B2956" s="1">
        <v>13662</v>
      </c>
      <c r="C2956" t="s">
        <v>2760</v>
      </c>
      <c r="D2956" t="s">
        <v>2728</v>
      </c>
    </row>
    <row r="2957" spans="1:4" x14ac:dyDescent="0.25">
      <c r="A2957" s="2" t="s">
        <v>2762</v>
      </c>
      <c r="B2957" s="1">
        <v>13726</v>
      </c>
      <c r="C2957" t="s">
        <v>2760</v>
      </c>
      <c r="D2957" t="s">
        <v>2728</v>
      </c>
    </row>
    <row r="2958" spans="1:4" x14ac:dyDescent="0.25">
      <c r="A2958" s="2" t="s">
        <v>2763</v>
      </c>
      <c r="B2958" s="1">
        <v>13760</v>
      </c>
      <c r="C2958" t="s">
        <v>2760</v>
      </c>
      <c r="D2958" t="s">
        <v>2728</v>
      </c>
    </row>
    <row r="2959" spans="1:4" x14ac:dyDescent="0.25">
      <c r="A2959" s="2" t="s">
        <v>2764</v>
      </c>
      <c r="B2959" s="1">
        <v>13717</v>
      </c>
      <c r="C2959" t="s">
        <v>2760</v>
      </c>
      <c r="D2959" t="s">
        <v>2728</v>
      </c>
    </row>
    <row r="2960" spans="1:4" x14ac:dyDescent="0.25">
      <c r="A2960" s="2" t="s">
        <v>2765</v>
      </c>
      <c r="B2960" s="1">
        <v>13662</v>
      </c>
      <c r="C2960" t="s">
        <v>2760</v>
      </c>
      <c r="D2960" t="s">
        <v>2728</v>
      </c>
    </row>
    <row r="2961" spans="1:4" x14ac:dyDescent="0.25">
      <c r="A2961" s="2" t="s">
        <v>2766</v>
      </c>
      <c r="B2961" s="1">
        <v>13647</v>
      </c>
      <c r="C2961" t="s">
        <v>2760</v>
      </c>
      <c r="D2961" t="s">
        <v>2728</v>
      </c>
    </row>
    <row r="2962" spans="1:4" x14ac:dyDescent="0.25">
      <c r="A2962" s="2" t="s">
        <v>2767</v>
      </c>
      <c r="B2962" s="1">
        <v>13647</v>
      </c>
      <c r="C2962" t="s">
        <v>2760</v>
      </c>
      <c r="D2962" t="s">
        <v>2728</v>
      </c>
    </row>
    <row r="2963" spans="1:4" x14ac:dyDescent="0.25">
      <c r="A2963" s="2" t="s">
        <v>2768</v>
      </c>
      <c r="B2963" s="1">
        <v>13647</v>
      </c>
      <c r="C2963" t="s">
        <v>2760</v>
      </c>
      <c r="D2963" t="s">
        <v>2728</v>
      </c>
    </row>
    <row r="2964" spans="1:4" x14ac:dyDescent="0.25">
      <c r="A2964" s="2" t="s">
        <v>2769</v>
      </c>
      <c r="B2964" s="1">
        <v>13708</v>
      </c>
      <c r="C2964" t="s">
        <v>2760</v>
      </c>
      <c r="D2964" t="s">
        <v>2728</v>
      </c>
    </row>
    <row r="2965" spans="1:4" x14ac:dyDescent="0.25">
      <c r="A2965" s="2" t="s">
        <v>2770</v>
      </c>
      <c r="B2965" s="1">
        <v>13686</v>
      </c>
      <c r="C2965" t="s">
        <v>2760</v>
      </c>
      <c r="D2965" t="s">
        <v>2728</v>
      </c>
    </row>
    <row r="2966" spans="1:4" x14ac:dyDescent="0.25">
      <c r="A2966" s="2" t="s">
        <v>2771</v>
      </c>
      <c r="B2966" s="1">
        <v>13659</v>
      </c>
      <c r="C2966" t="s">
        <v>2760</v>
      </c>
      <c r="D2966" t="s">
        <v>2728</v>
      </c>
    </row>
    <row r="2967" spans="1:4" x14ac:dyDescent="0.25">
      <c r="A2967" s="2" t="s">
        <v>2772</v>
      </c>
      <c r="B2967" s="1">
        <v>13679</v>
      </c>
      <c r="C2967" t="s">
        <v>2760</v>
      </c>
      <c r="D2967" t="s">
        <v>2728</v>
      </c>
    </row>
    <row r="2968" spans="1:4" x14ac:dyDescent="0.25">
      <c r="A2968" s="2" t="s">
        <v>2773</v>
      </c>
      <c r="B2968" s="1">
        <v>13707</v>
      </c>
      <c r="C2968" t="s">
        <v>2760</v>
      </c>
      <c r="D2968" t="s">
        <v>2728</v>
      </c>
    </row>
    <row r="2969" spans="1:4" x14ac:dyDescent="0.25">
      <c r="A2969" s="2" t="s">
        <v>2774</v>
      </c>
      <c r="B2969" s="1">
        <v>13707</v>
      </c>
      <c r="C2969" t="s">
        <v>2760</v>
      </c>
      <c r="D2969" t="s">
        <v>2728</v>
      </c>
    </row>
    <row r="2970" spans="1:4" x14ac:dyDescent="0.25">
      <c r="A2970" s="2" t="s">
        <v>2775</v>
      </c>
      <c r="B2970" s="1">
        <v>13707</v>
      </c>
      <c r="C2970" t="s">
        <v>2760</v>
      </c>
      <c r="D2970" t="s">
        <v>2728</v>
      </c>
    </row>
    <row r="2971" spans="1:4" x14ac:dyDescent="0.25">
      <c r="A2971" s="2" t="s">
        <v>2776</v>
      </c>
      <c r="B2971" s="1">
        <v>13693</v>
      </c>
      <c r="C2971" t="s">
        <v>2760</v>
      </c>
      <c r="D2971" t="s">
        <v>2728</v>
      </c>
    </row>
    <row r="2972" spans="1:4" x14ac:dyDescent="0.25">
      <c r="A2972" s="2" t="s">
        <v>2777</v>
      </c>
      <c r="B2972" s="1">
        <v>13676</v>
      </c>
      <c r="C2972" t="s">
        <v>2760</v>
      </c>
      <c r="D2972" t="s">
        <v>2728</v>
      </c>
    </row>
    <row r="2973" spans="1:4" x14ac:dyDescent="0.25">
      <c r="A2973" s="2" t="s">
        <v>2778</v>
      </c>
      <c r="B2973" s="1">
        <v>13717</v>
      </c>
      <c r="C2973" t="s">
        <v>2760</v>
      </c>
      <c r="D2973" t="s">
        <v>2728</v>
      </c>
    </row>
    <row r="2974" spans="1:4" x14ac:dyDescent="0.25">
      <c r="A2974" s="2" t="s">
        <v>2779</v>
      </c>
      <c r="B2974" s="1">
        <v>13735</v>
      </c>
      <c r="C2974" t="s">
        <v>2760</v>
      </c>
      <c r="D2974" t="s">
        <v>2728</v>
      </c>
    </row>
    <row r="2975" spans="1:4" x14ac:dyDescent="0.25">
      <c r="A2975" s="2" t="s">
        <v>2780</v>
      </c>
      <c r="B2975" s="1">
        <v>13777</v>
      </c>
      <c r="C2975" t="s">
        <v>2760</v>
      </c>
      <c r="D2975" t="s">
        <v>2728</v>
      </c>
    </row>
    <row r="2976" spans="1:4" x14ac:dyDescent="0.25">
      <c r="A2976" s="2" t="s">
        <v>2781</v>
      </c>
      <c r="B2976" s="1">
        <v>13777</v>
      </c>
      <c r="C2976" t="s">
        <v>2760</v>
      </c>
      <c r="D2976" t="s">
        <v>2728</v>
      </c>
    </row>
    <row r="2977" spans="1:4" x14ac:dyDescent="0.25">
      <c r="A2977" s="2" t="s">
        <v>2782</v>
      </c>
      <c r="B2977" s="1">
        <v>13777</v>
      </c>
      <c r="C2977" t="s">
        <v>2760</v>
      </c>
      <c r="D2977" t="s">
        <v>2728</v>
      </c>
    </row>
    <row r="2978" spans="1:4" x14ac:dyDescent="0.25">
      <c r="A2978" s="2" t="s">
        <v>2783</v>
      </c>
      <c r="B2978" s="1">
        <v>13863</v>
      </c>
      <c r="C2978" t="s">
        <v>2760</v>
      </c>
      <c r="D2978" t="s">
        <v>2728</v>
      </c>
    </row>
    <row r="2979" spans="1:4" x14ac:dyDescent="0.25">
      <c r="A2979" s="2" t="s">
        <v>2784</v>
      </c>
      <c r="B2979" s="1">
        <v>13893</v>
      </c>
      <c r="C2979" t="s">
        <v>2760</v>
      </c>
      <c r="D2979" t="s">
        <v>2728</v>
      </c>
    </row>
    <row r="2980" spans="1:4" x14ac:dyDescent="0.25">
      <c r="A2980" s="2" t="s">
        <v>2785</v>
      </c>
      <c r="B2980" s="1">
        <v>13966</v>
      </c>
      <c r="C2980" t="s">
        <v>2760</v>
      </c>
      <c r="D2980" t="s">
        <v>2728</v>
      </c>
    </row>
    <row r="2981" spans="1:4" x14ac:dyDescent="0.25">
      <c r="A2981" s="2" t="s">
        <v>2786</v>
      </c>
      <c r="B2981" s="1">
        <v>14018</v>
      </c>
      <c r="C2981" t="s">
        <v>2760</v>
      </c>
      <c r="D2981" t="s">
        <v>2728</v>
      </c>
    </row>
    <row r="2982" spans="1:4" x14ac:dyDescent="0.25">
      <c r="A2982" s="2" t="s">
        <v>2787</v>
      </c>
      <c r="B2982" s="1">
        <v>14234</v>
      </c>
      <c r="C2982" t="s">
        <v>2760</v>
      </c>
      <c r="D2982" t="s">
        <v>2728</v>
      </c>
    </row>
    <row r="2983" spans="1:4" x14ac:dyDescent="0.25">
      <c r="A2983" s="2" t="s">
        <v>2788</v>
      </c>
      <c r="B2983" s="1">
        <v>14234</v>
      </c>
      <c r="C2983" t="s">
        <v>2760</v>
      </c>
      <c r="D2983" t="s">
        <v>2728</v>
      </c>
    </row>
    <row r="2984" spans="1:4" x14ac:dyDescent="0.25">
      <c r="A2984" s="2" t="s">
        <v>2789</v>
      </c>
      <c r="B2984" s="1">
        <v>14234</v>
      </c>
      <c r="C2984" t="s">
        <v>2790</v>
      </c>
      <c r="D2984" t="s">
        <v>2728</v>
      </c>
    </row>
    <row r="2985" spans="1:4" x14ac:dyDescent="0.25">
      <c r="A2985" s="2" t="s">
        <v>2791</v>
      </c>
      <c r="B2985" s="1">
        <v>14413</v>
      </c>
      <c r="C2985" t="s">
        <v>2790</v>
      </c>
      <c r="D2985" t="s">
        <v>2728</v>
      </c>
    </row>
    <row r="2986" spans="1:4" x14ac:dyDescent="0.25">
      <c r="A2986" s="2" t="s">
        <v>2792</v>
      </c>
      <c r="B2986" s="1">
        <v>14222</v>
      </c>
      <c r="C2986" t="s">
        <v>2790</v>
      </c>
      <c r="D2986" t="s">
        <v>2728</v>
      </c>
    </row>
    <row r="2987" spans="1:4" x14ac:dyDescent="0.25">
      <c r="A2987" s="2" t="s">
        <v>2793</v>
      </c>
      <c r="B2987" s="1">
        <v>14171</v>
      </c>
      <c r="C2987" t="s">
        <v>2790</v>
      </c>
      <c r="D2987" t="s">
        <v>2728</v>
      </c>
    </row>
    <row r="2988" spans="1:4" x14ac:dyDescent="0.25">
      <c r="A2988" s="2" t="s">
        <v>2794</v>
      </c>
      <c r="B2988" s="1">
        <v>14168</v>
      </c>
      <c r="C2988" t="s">
        <v>2790</v>
      </c>
      <c r="D2988" t="s">
        <v>2728</v>
      </c>
    </row>
    <row r="2989" spans="1:4" x14ac:dyDescent="0.25">
      <c r="A2989" s="2" t="s">
        <v>2795</v>
      </c>
      <c r="B2989" s="1">
        <v>14267</v>
      </c>
      <c r="C2989" t="s">
        <v>2790</v>
      </c>
      <c r="D2989" t="s">
        <v>2728</v>
      </c>
    </row>
    <row r="2990" spans="1:4" x14ac:dyDescent="0.25">
      <c r="A2990" s="2" t="s">
        <v>2796</v>
      </c>
      <c r="B2990" s="1">
        <v>14267</v>
      </c>
      <c r="C2990" t="s">
        <v>2790</v>
      </c>
      <c r="D2990" t="s">
        <v>2728</v>
      </c>
    </row>
    <row r="2991" spans="1:4" x14ac:dyDescent="0.25">
      <c r="A2991" s="2" t="s">
        <v>2797</v>
      </c>
      <c r="B2991" s="1">
        <v>14267</v>
      </c>
      <c r="C2991" t="s">
        <v>2790</v>
      </c>
      <c r="D2991" t="s">
        <v>2728</v>
      </c>
    </row>
    <row r="2992" spans="1:4" x14ac:dyDescent="0.25">
      <c r="A2992" s="2" t="s">
        <v>2798</v>
      </c>
      <c r="B2992" s="1">
        <v>14342</v>
      </c>
      <c r="C2992" t="s">
        <v>2790</v>
      </c>
      <c r="D2992" t="s">
        <v>2728</v>
      </c>
    </row>
    <row r="2993" spans="1:4" x14ac:dyDescent="0.25">
      <c r="A2993" s="2" t="s">
        <v>2799</v>
      </c>
      <c r="B2993" s="1">
        <v>14411</v>
      </c>
      <c r="C2993" t="s">
        <v>2790</v>
      </c>
      <c r="D2993" t="s">
        <v>2728</v>
      </c>
    </row>
    <row r="2994" spans="1:4" x14ac:dyDescent="0.25">
      <c r="A2994" s="2" t="s">
        <v>2800</v>
      </c>
      <c r="B2994" s="1">
        <v>14323</v>
      </c>
      <c r="C2994" t="s">
        <v>2790</v>
      </c>
      <c r="D2994" t="s">
        <v>2728</v>
      </c>
    </row>
    <row r="2995" spans="1:4" x14ac:dyDescent="0.25">
      <c r="A2995" s="2" t="s">
        <v>2801</v>
      </c>
      <c r="B2995" s="1">
        <v>14490</v>
      </c>
      <c r="C2995" t="s">
        <v>2790</v>
      </c>
      <c r="D2995" t="s">
        <v>2728</v>
      </c>
    </row>
    <row r="2996" spans="1:4" x14ac:dyDescent="0.25">
      <c r="A2996" s="2" t="s">
        <v>2802</v>
      </c>
      <c r="B2996" s="1">
        <v>14815</v>
      </c>
      <c r="C2996" t="s">
        <v>2790</v>
      </c>
      <c r="D2996" t="s">
        <v>2728</v>
      </c>
    </row>
    <row r="2997" spans="1:4" x14ac:dyDescent="0.25">
      <c r="A2997" s="2" t="s">
        <v>2803</v>
      </c>
      <c r="B2997" s="1">
        <v>14815</v>
      </c>
      <c r="C2997" t="s">
        <v>2790</v>
      </c>
      <c r="D2997" t="s">
        <v>2728</v>
      </c>
    </row>
    <row r="2998" spans="1:4" x14ac:dyDescent="0.25">
      <c r="A2998" s="2" t="s">
        <v>2804</v>
      </c>
      <c r="B2998" s="1">
        <v>14815</v>
      </c>
      <c r="C2998" t="s">
        <v>2790</v>
      </c>
      <c r="D2998" t="s">
        <v>2728</v>
      </c>
    </row>
    <row r="2999" spans="1:4" x14ac:dyDescent="0.25">
      <c r="A2999" s="2" t="s">
        <v>2805</v>
      </c>
      <c r="B2999" s="1">
        <v>14818</v>
      </c>
      <c r="C2999" t="s">
        <v>2790</v>
      </c>
      <c r="D2999" t="s">
        <v>2728</v>
      </c>
    </row>
    <row r="3000" spans="1:4" x14ac:dyDescent="0.25">
      <c r="A3000" s="2" t="s">
        <v>2806</v>
      </c>
      <c r="B3000" s="1">
        <v>15083</v>
      </c>
      <c r="C3000" t="s">
        <v>2790</v>
      </c>
      <c r="D3000" t="s">
        <v>2728</v>
      </c>
    </row>
    <row r="3001" spans="1:4" x14ac:dyDescent="0.25">
      <c r="A3001" s="2" t="s">
        <v>2807</v>
      </c>
      <c r="B3001" s="1">
        <v>15223</v>
      </c>
      <c r="C3001" t="s">
        <v>2790</v>
      </c>
      <c r="D3001" t="s">
        <v>2728</v>
      </c>
    </row>
    <row r="3002" spans="1:4" x14ac:dyDescent="0.25">
      <c r="A3002" s="2" t="s">
        <v>2808</v>
      </c>
      <c r="B3002" s="1">
        <v>15712</v>
      </c>
      <c r="C3002" t="s">
        <v>2790</v>
      </c>
      <c r="D3002" t="s">
        <v>2728</v>
      </c>
    </row>
    <row r="3003" spans="1:4" x14ac:dyDescent="0.25">
      <c r="A3003" s="2" t="s">
        <v>2809</v>
      </c>
      <c r="B3003" s="1">
        <v>16273</v>
      </c>
      <c r="C3003" t="s">
        <v>2790</v>
      </c>
      <c r="D3003" t="s">
        <v>2728</v>
      </c>
    </row>
    <row r="3004" spans="1:4" x14ac:dyDescent="0.25">
      <c r="A3004" s="2" t="s">
        <v>2810</v>
      </c>
      <c r="B3004" s="1">
        <v>16273</v>
      </c>
      <c r="C3004" t="s">
        <v>2790</v>
      </c>
      <c r="D3004" t="s">
        <v>2728</v>
      </c>
    </row>
    <row r="3005" spans="1:4" x14ac:dyDescent="0.25">
      <c r="A3005" s="2" t="s">
        <v>2811</v>
      </c>
      <c r="B3005" s="1">
        <v>16273</v>
      </c>
      <c r="C3005" t="s">
        <v>2790</v>
      </c>
      <c r="D3005" t="s">
        <v>2728</v>
      </c>
    </row>
    <row r="3006" spans="1:4" x14ac:dyDescent="0.25">
      <c r="A3006" s="2" t="s">
        <v>2812</v>
      </c>
      <c r="B3006" s="1">
        <v>16608</v>
      </c>
      <c r="C3006" t="s">
        <v>2790</v>
      </c>
      <c r="D3006" t="s">
        <v>2728</v>
      </c>
    </row>
    <row r="3007" spans="1:4" x14ac:dyDescent="0.25">
      <c r="A3007" s="2" t="s">
        <v>2813</v>
      </c>
      <c r="B3007" s="1">
        <v>16486</v>
      </c>
      <c r="C3007" t="s">
        <v>2790</v>
      </c>
      <c r="D3007" t="s">
        <v>2728</v>
      </c>
    </row>
    <row r="3008" spans="1:4" x14ac:dyDescent="0.25">
      <c r="A3008" s="2" t="s">
        <v>2814</v>
      </c>
      <c r="B3008" s="1">
        <v>16486</v>
      </c>
      <c r="C3008" t="s">
        <v>2790</v>
      </c>
      <c r="D3008" t="s">
        <v>2728</v>
      </c>
    </row>
    <row r="3009" spans="1:4" x14ac:dyDescent="0.25">
      <c r="A3009" s="2" t="s">
        <v>2815</v>
      </c>
      <c r="B3009" s="1">
        <v>16328</v>
      </c>
      <c r="C3009" t="s">
        <v>2790</v>
      </c>
      <c r="D3009" t="s">
        <v>2728</v>
      </c>
    </row>
    <row r="3010" spans="1:4" x14ac:dyDescent="0.25">
      <c r="A3010" s="2" t="s">
        <v>2816</v>
      </c>
      <c r="B3010" s="1">
        <v>16230</v>
      </c>
      <c r="C3010" t="s">
        <v>2790</v>
      </c>
      <c r="D3010" t="s">
        <v>2728</v>
      </c>
    </row>
    <row r="3011" spans="1:4" x14ac:dyDescent="0.25">
      <c r="A3011" s="2" t="s">
        <v>2817</v>
      </c>
      <c r="B3011" s="1">
        <v>16230</v>
      </c>
      <c r="C3011" t="s">
        <v>2790</v>
      </c>
      <c r="D3011" t="s">
        <v>2728</v>
      </c>
    </row>
    <row r="3012" spans="1:4" x14ac:dyDescent="0.25">
      <c r="A3012" s="2" t="s">
        <v>2818</v>
      </c>
      <c r="B3012" s="1">
        <v>16230</v>
      </c>
      <c r="C3012" t="s">
        <v>2790</v>
      </c>
      <c r="D3012" t="s">
        <v>2728</v>
      </c>
    </row>
    <row r="3013" spans="1:4" x14ac:dyDescent="0.25">
      <c r="A3013" s="2" t="s">
        <v>2819</v>
      </c>
      <c r="B3013" s="1">
        <v>16336</v>
      </c>
      <c r="C3013" t="s">
        <v>2790</v>
      </c>
      <c r="D3013" t="s">
        <v>2728</v>
      </c>
    </row>
    <row r="3014" spans="1:4" x14ac:dyDescent="0.25">
      <c r="A3014" s="2" t="s">
        <v>2820</v>
      </c>
      <c r="B3014" s="1">
        <v>16367</v>
      </c>
      <c r="C3014" t="s">
        <v>2790</v>
      </c>
      <c r="D3014" t="s">
        <v>2728</v>
      </c>
    </row>
    <row r="3015" spans="1:4" x14ac:dyDescent="0.25">
      <c r="A3015" s="2" t="s">
        <v>2821</v>
      </c>
      <c r="B3015" s="1">
        <v>16413</v>
      </c>
      <c r="C3015" t="s">
        <v>2822</v>
      </c>
      <c r="D3015" t="s">
        <v>2823</v>
      </c>
    </row>
    <row r="3016" spans="1:4" x14ac:dyDescent="0.25">
      <c r="A3016" s="2" t="s">
        <v>2824</v>
      </c>
      <c r="B3016" s="1">
        <v>16741</v>
      </c>
      <c r="C3016" t="s">
        <v>2822</v>
      </c>
      <c r="D3016" t="s">
        <v>2823</v>
      </c>
    </row>
    <row r="3017" spans="1:4" x14ac:dyDescent="0.25">
      <c r="A3017" s="2" t="s">
        <v>2825</v>
      </c>
      <c r="B3017" s="1">
        <v>16464</v>
      </c>
      <c r="C3017" t="s">
        <v>2822</v>
      </c>
      <c r="D3017" t="s">
        <v>2823</v>
      </c>
    </row>
    <row r="3018" spans="1:4" x14ac:dyDescent="0.25">
      <c r="A3018" s="2" t="s">
        <v>2826</v>
      </c>
      <c r="B3018" s="1">
        <v>16464</v>
      </c>
      <c r="C3018" t="s">
        <v>2822</v>
      </c>
      <c r="D3018" t="s">
        <v>2823</v>
      </c>
    </row>
    <row r="3019" spans="1:4" x14ac:dyDescent="0.25">
      <c r="A3019" s="2" t="s">
        <v>2827</v>
      </c>
      <c r="B3019" s="1">
        <v>16464</v>
      </c>
      <c r="C3019" t="s">
        <v>2822</v>
      </c>
      <c r="D3019" t="s">
        <v>2823</v>
      </c>
    </row>
    <row r="3020" spans="1:4" x14ac:dyDescent="0.25">
      <c r="A3020" s="2" t="s">
        <v>2828</v>
      </c>
      <c r="B3020" s="1">
        <v>16556</v>
      </c>
      <c r="C3020" t="s">
        <v>2822</v>
      </c>
      <c r="D3020" t="s">
        <v>2823</v>
      </c>
    </row>
    <row r="3021" spans="1:4" x14ac:dyDescent="0.25">
      <c r="A3021" s="2" t="s">
        <v>2829</v>
      </c>
      <c r="B3021" s="1">
        <v>16410</v>
      </c>
      <c r="C3021" t="s">
        <v>2822</v>
      </c>
      <c r="D3021" t="s">
        <v>2823</v>
      </c>
    </row>
    <row r="3022" spans="1:4" x14ac:dyDescent="0.25">
      <c r="A3022" s="2" t="s">
        <v>2830</v>
      </c>
      <c r="B3022" s="1">
        <v>16245</v>
      </c>
      <c r="C3022" t="s">
        <v>2822</v>
      </c>
      <c r="D3022" t="s">
        <v>2823</v>
      </c>
    </row>
    <row r="3023" spans="1:4" x14ac:dyDescent="0.25">
      <c r="A3023" s="2" t="s">
        <v>2831</v>
      </c>
      <c r="B3023" s="1">
        <v>16241</v>
      </c>
      <c r="C3023" t="s">
        <v>2822</v>
      </c>
      <c r="D3023" t="s">
        <v>2823</v>
      </c>
    </row>
    <row r="3024" spans="1:4" x14ac:dyDescent="0.25">
      <c r="A3024" s="2" t="s">
        <v>2832</v>
      </c>
      <c r="B3024" s="1">
        <v>16241</v>
      </c>
      <c r="C3024" t="s">
        <v>2822</v>
      </c>
      <c r="D3024" t="s">
        <v>2823</v>
      </c>
    </row>
    <row r="3025" spans="1:4" x14ac:dyDescent="0.25">
      <c r="A3025" s="2" t="s">
        <v>2833</v>
      </c>
      <c r="B3025" s="1">
        <v>16241</v>
      </c>
      <c r="C3025" t="s">
        <v>2822</v>
      </c>
      <c r="D3025" t="s">
        <v>2823</v>
      </c>
    </row>
    <row r="3026" spans="1:4" x14ac:dyDescent="0.25">
      <c r="A3026" s="2" t="s">
        <v>2834</v>
      </c>
      <c r="B3026" s="1">
        <v>16241</v>
      </c>
      <c r="C3026" t="s">
        <v>2822</v>
      </c>
      <c r="D3026" t="s">
        <v>2823</v>
      </c>
    </row>
    <row r="3027" spans="1:4" x14ac:dyDescent="0.25">
      <c r="A3027" s="2" t="s">
        <v>2835</v>
      </c>
      <c r="B3027" s="1">
        <v>15840</v>
      </c>
      <c r="C3027" t="s">
        <v>2822</v>
      </c>
      <c r="D3027" t="s">
        <v>2823</v>
      </c>
    </row>
    <row r="3028" spans="1:4" x14ac:dyDescent="0.25">
      <c r="A3028" s="2" t="s">
        <v>2836</v>
      </c>
      <c r="B3028" s="1">
        <v>15722</v>
      </c>
      <c r="C3028" t="s">
        <v>2822</v>
      </c>
      <c r="D3028" t="s">
        <v>2823</v>
      </c>
    </row>
    <row r="3029" spans="1:4" x14ac:dyDescent="0.25">
      <c r="A3029" s="2" t="s">
        <v>2837</v>
      </c>
      <c r="B3029" s="1">
        <v>15707</v>
      </c>
      <c r="C3029" t="s">
        <v>2822</v>
      </c>
      <c r="D3029" t="s">
        <v>2823</v>
      </c>
    </row>
    <row r="3030" spans="1:4" x14ac:dyDescent="0.25">
      <c r="A3030" s="2" t="s">
        <v>2838</v>
      </c>
      <c r="B3030" s="1">
        <v>15787</v>
      </c>
      <c r="C3030" t="s">
        <v>2822</v>
      </c>
      <c r="D3030" t="s">
        <v>2823</v>
      </c>
    </row>
    <row r="3031" spans="1:4" x14ac:dyDescent="0.25">
      <c r="A3031" s="2" t="s">
        <v>2839</v>
      </c>
      <c r="B3031" s="1">
        <v>15503</v>
      </c>
      <c r="C3031" t="s">
        <v>2822</v>
      </c>
      <c r="D3031" t="s">
        <v>2823</v>
      </c>
    </row>
    <row r="3032" spans="1:4" x14ac:dyDescent="0.25">
      <c r="A3032" s="2" t="s">
        <v>2840</v>
      </c>
      <c r="B3032" s="1">
        <v>15503</v>
      </c>
      <c r="C3032" t="s">
        <v>2822</v>
      </c>
      <c r="D3032" t="s">
        <v>2823</v>
      </c>
    </row>
    <row r="3033" spans="1:4" x14ac:dyDescent="0.25">
      <c r="A3033" s="2" t="s">
        <v>2841</v>
      </c>
      <c r="B3033" s="1">
        <v>15503</v>
      </c>
      <c r="C3033" t="s">
        <v>2822</v>
      </c>
      <c r="D3033" t="s">
        <v>2823</v>
      </c>
    </row>
    <row r="3034" spans="1:4" x14ac:dyDescent="0.25">
      <c r="A3034" s="2" t="s">
        <v>2842</v>
      </c>
      <c r="B3034" s="1">
        <v>15543</v>
      </c>
      <c r="C3034" t="s">
        <v>2822</v>
      </c>
      <c r="D3034" t="s">
        <v>2823</v>
      </c>
    </row>
    <row r="3035" spans="1:4" x14ac:dyDescent="0.25">
      <c r="A3035" s="2" t="s">
        <v>2843</v>
      </c>
      <c r="B3035" s="1">
        <v>15643</v>
      </c>
      <c r="C3035" t="s">
        <v>2822</v>
      </c>
      <c r="D3035" t="s">
        <v>2823</v>
      </c>
    </row>
    <row r="3036" spans="1:4" x14ac:dyDescent="0.25">
      <c r="A3036" s="2" t="s">
        <v>2844</v>
      </c>
      <c r="B3036" s="1">
        <v>15567</v>
      </c>
      <c r="C3036" t="s">
        <v>2822</v>
      </c>
      <c r="D3036" t="s">
        <v>2823</v>
      </c>
    </row>
    <row r="3037" spans="1:4" x14ac:dyDescent="0.25">
      <c r="A3037" s="2" t="s">
        <v>2845</v>
      </c>
      <c r="B3037" s="1">
        <v>15630</v>
      </c>
      <c r="C3037" t="s">
        <v>2822</v>
      </c>
      <c r="D3037" t="s">
        <v>2823</v>
      </c>
    </row>
    <row r="3038" spans="1:4" x14ac:dyDescent="0.25">
      <c r="A3038" s="2" t="s">
        <v>2846</v>
      </c>
      <c r="B3038" s="1">
        <v>15553</v>
      </c>
      <c r="C3038" t="s">
        <v>2822</v>
      </c>
      <c r="D3038" t="s">
        <v>2823</v>
      </c>
    </row>
    <row r="3039" spans="1:4" x14ac:dyDescent="0.25">
      <c r="A3039" s="2" t="s">
        <v>2847</v>
      </c>
      <c r="B3039" s="1">
        <v>15553</v>
      </c>
      <c r="C3039" t="s">
        <v>2822</v>
      </c>
      <c r="D3039" t="s">
        <v>2823</v>
      </c>
    </row>
    <row r="3040" spans="1:4" x14ac:dyDescent="0.25">
      <c r="A3040" s="2" t="s">
        <v>2848</v>
      </c>
      <c r="B3040" s="1">
        <v>15553</v>
      </c>
      <c r="C3040" t="s">
        <v>2822</v>
      </c>
      <c r="D3040" t="s">
        <v>2823</v>
      </c>
    </row>
    <row r="3041" spans="1:4" x14ac:dyDescent="0.25">
      <c r="A3041" s="2" t="s">
        <v>2849</v>
      </c>
      <c r="B3041" s="1">
        <v>15591</v>
      </c>
      <c r="C3041" t="s">
        <v>2822</v>
      </c>
      <c r="D3041" t="s">
        <v>2823</v>
      </c>
    </row>
    <row r="3042" spans="1:4" x14ac:dyDescent="0.25">
      <c r="A3042" s="2" t="s">
        <v>2850</v>
      </c>
      <c r="B3042" s="1">
        <v>15488</v>
      </c>
      <c r="C3042" t="s">
        <v>2822</v>
      </c>
      <c r="D3042" t="s">
        <v>2823</v>
      </c>
    </row>
    <row r="3043" spans="1:4" x14ac:dyDescent="0.25">
      <c r="A3043" s="2" t="s">
        <v>2851</v>
      </c>
      <c r="B3043" s="1">
        <v>15415</v>
      </c>
      <c r="C3043" t="s">
        <v>2822</v>
      </c>
      <c r="D3043" t="s">
        <v>2823</v>
      </c>
    </row>
    <row r="3044" spans="1:4" x14ac:dyDescent="0.25">
      <c r="A3044" s="2" t="s">
        <v>2852</v>
      </c>
      <c r="B3044" s="1">
        <v>15157</v>
      </c>
      <c r="C3044" t="s">
        <v>2822</v>
      </c>
      <c r="D3044" t="s">
        <v>2823</v>
      </c>
    </row>
    <row r="3045" spans="1:4" x14ac:dyDescent="0.25">
      <c r="A3045" s="2" t="s">
        <v>2853</v>
      </c>
      <c r="B3045" s="1">
        <v>15157</v>
      </c>
      <c r="C3045" t="s">
        <v>2854</v>
      </c>
      <c r="D3045" t="s">
        <v>2823</v>
      </c>
    </row>
    <row r="3046" spans="1:4" x14ac:dyDescent="0.25">
      <c r="A3046" s="2" t="s">
        <v>2855</v>
      </c>
      <c r="B3046" s="1">
        <v>15157</v>
      </c>
      <c r="C3046" t="s">
        <v>2854</v>
      </c>
      <c r="D3046" t="s">
        <v>2823</v>
      </c>
    </row>
    <row r="3047" spans="1:4" x14ac:dyDescent="0.25">
      <c r="A3047" s="2" t="s">
        <v>2856</v>
      </c>
      <c r="B3047" s="1">
        <v>15157</v>
      </c>
      <c r="C3047" t="s">
        <v>2854</v>
      </c>
      <c r="D3047" t="s">
        <v>2823</v>
      </c>
    </row>
    <row r="3048" spans="1:4" x14ac:dyDescent="0.25">
      <c r="A3048" s="2" t="s">
        <v>2857</v>
      </c>
      <c r="B3048" s="1">
        <v>15073</v>
      </c>
      <c r="C3048" t="s">
        <v>2854</v>
      </c>
      <c r="D3048" t="s">
        <v>2823</v>
      </c>
    </row>
    <row r="3049" spans="1:4" x14ac:dyDescent="0.25">
      <c r="A3049" s="2" t="s">
        <v>2858</v>
      </c>
      <c r="B3049" s="1">
        <v>15104</v>
      </c>
      <c r="C3049" t="s">
        <v>2854</v>
      </c>
      <c r="D3049" t="s">
        <v>2823</v>
      </c>
    </row>
    <row r="3050" spans="1:4" x14ac:dyDescent="0.25">
      <c r="A3050" s="2" t="s">
        <v>2859</v>
      </c>
      <c r="B3050" s="1">
        <v>15127</v>
      </c>
      <c r="C3050" t="s">
        <v>2854</v>
      </c>
      <c r="D3050" t="s">
        <v>2823</v>
      </c>
    </row>
    <row r="3051" spans="1:4" x14ac:dyDescent="0.25">
      <c r="A3051" s="2" t="s">
        <v>2860</v>
      </c>
      <c r="B3051" s="1">
        <v>15127</v>
      </c>
      <c r="C3051" t="s">
        <v>2854</v>
      </c>
      <c r="D3051" t="s">
        <v>2823</v>
      </c>
    </row>
    <row r="3052" spans="1:4" x14ac:dyDescent="0.25">
      <c r="A3052" s="2" t="s">
        <v>2861</v>
      </c>
      <c r="B3052" s="1">
        <v>15009</v>
      </c>
      <c r="C3052" t="s">
        <v>2854</v>
      </c>
      <c r="D3052" t="s">
        <v>2823</v>
      </c>
    </row>
    <row r="3053" spans="1:4" x14ac:dyDescent="0.25">
      <c r="A3053" s="2" t="s">
        <v>2862</v>
      </c>
      <c r="B3053" s="1">
        <v>15009</v>
      </c>
      <c r="C3053" t="s">
        <v>2854</v>
      </c>
      <c r="D3053" t="s">
        <v>2823</v>
      </c>
    </row>
    <row r="3054" spans="1:4" x14ac:dyDescent="0.25">
      <c r="A3054" s="2" t="s">
        <v>2863</v>
      </c>
      <c r="B3054" s="1">
        <v>15009</v>
      </c>
      <c r="C3054" t="s">
        <v>2854</v>
      </c>
      <c r="D3054" t="s">
        <v>2823</v>
      </c>
    </row>
    <row r="3055" spans="1:4" x14ac:dyDescent="0.25">
      <c r="A3055" s="2" t="s">
        <v>2864</v>
      </c>
      <c r="B3055" s="1">
        <v>14936</v>
      </c>
      <c r="C3055" t="s">
        <v>2854</v>
      </c>
      <c r="D3055" t="s">
        <v>2823</v>
      </c>
    </row>
    <row r="3056" spans="1:4" x14ac:dyDescent="0.25">
      <c r="A3056" s="2" t="s">
        <v>2865</v>
      </c>
      <c r="B3056" s="1">
        <v>14978</v>
      </c>
      <c r="C3056" t="s">
        <v>2854</v>
      </c>
      <c r="D3056" t="s">
        <v>2823</v>
      </c>
    </row>
    <row r="3057" spans="1:4" x14ac:dyDescent="0.25">
      <c r="A3057" s="2" t="s">
        <v>2866</v>
      </c>
      <c r="B3057" s="1">
        <v>14887</v>
      </c>
      <c r="C3057" t="s">
        <v>2854</v>
      </c>
      <c r="D3057" t="s">
        <v>2823</v>
      </c>
    </row>
    <row r="3058" spans="1:4" x14ac:dyDescent="0.25">
      <c r="A3058" s="2" t="s">
        <v>2867</v>
      </c>
      <c r="B3058" s="1">
        <v>14946</v>
      </c>
      <c r="C3058" t="s">
        <v>2854</v>
      </c>
      <c r="D3058" t="s">
        <v>2823</v>
      </c>
    </row>
    <row r="3059" spans="1:4" x14ac:dyDescent="0.25">
      <c r="A3059" s="2" t="s">
        <v>2868</v>
      </c>
      <c r="B3059" s="1">
        <v>14909</v>
      </c>
      <c r="C3059" t="s">
        <v>2854</v>
      </c>
      <c r="D3059" t="s">
        <v>2823</v>
      </c>
    </row>
    <row r="3060" spans="1:4" x14ac:dyDescent="0.25">
      <c r="A3060" s="2" t="s">
        <v>2869</v>
      </c>
      <c r="B3060" s="1">
        <v>14909</v>
      </c>
      <c r="C3060" t="s">
        <v>2854</v>
      </c>
      <c r="D3060" t="s">
        <v>2823</v>
      </c>
    </row>
    <row r="3061" spans="1:4" x14ac:dyDescent="0.25">
      <c r="A3061" s="2" t="s">
        <v>2870</v>
      </c>
      <c r="B3061" s="1">
        <v>14909</v>
      </c>
      <c r="C3061" t="s">
        <v>2854</v>
      </c>
      <c r="D3061" t="s">
        <v>2823</v>
      </c>
    </row>
    <row r="3062" spans="1:4" x14ac:dyDescent="0.25">
      <c r="A3062" s="2" t="s">
        <v>2871</v>
      </c>
      <c r="B3062" s="1">
        <v>14885</v>
      </c>
      <c r="C3062" t="s">
        <v>2854</v>
      </c>
      <c r="D3062" t="s">
        <v>2823</v>
      </c>
    </row>
    <row r="3063" spans="1:4" x14ac:dyDescent="0.25">
      <c r="A3063" s="2" t="s">
        <v>2872</v>
      </c>
      <c r="B3063" s="1">
        <v>14823</v>
      </c>
      <c r="C3063" t="s">
        <v>2854</v>
      </c>
      <c r="D3063" t="s">
        <v>2823</v>
      </c>
    </row>
    <row r="3064" spans="1:4" x14ac:dyDescent="0.25">
      <c r="A3064" s="2" t="s">
        <v>2873</v>
      </c>
      <c r="B3064" s="1">
        <v>14785</v>
      </c>
      <c r="C3064" t="s">
        <v>2854</v>
      </c>
      <c r="D3064" t="s">
        <v>2823</v>
      </c>
    </row>
    <row r="3065" spans="1:4" x14ac:dyDescent="0.25">
      <c r="A3065" s="2" t="s">
        <v>2874</v>
      </c>
      <c r="B3065" s="1">
        <v>14785</v>
      </c>
      <c r="C3065" t="s">
        <v>2854</v>
      </c>
      <c r="D3065" t="s">
        <v>2823</v>
      </c>
    </row>
    <row r="3066" spans="1:4" x14ac:dyDescent="0.25">
      <c r="A3066" s="2" t="s">
        <v>2875</v>
      </c>
      <c r="B3066" s="1">
        <v>14785</v>
      </c>
      <c r="C3066" t="s">
        <v>2854</v>
      </c>
      <c r="D3066" t="s">
        <v>2823</v>
      </c>
    </row>
    <row r="3067" spans="1:4" x14ac:dyDescent="0.25">
      <c r="A3067" s="2" t="s">
        <v>2876</v>
      </c>
      <c r="B3067" s="1">
        <v>14785</v>
      </c>
      <c r="C3067" t="s">
        <v>2854</v>
      </c>
      <c r="D3067" t="s">
        <v>2823</v>
      </c>
    </row>
    <row r="3068" spans="1:4" x14ac:dyDescent="0.25">
      <c r="A3068" s="2" t="s">
        <v>2877</v>
      </c>
      <c r="B3068" s="1">
        <v>14785</v>
      </c>
      <c r="C3068" t="s">
        <v>2854</v>
      </c>
      <c r="D3068" t="s">
        <v>2823</v>
      </c>
    </row>
    <row r="3069" spans="1:4" x14ac:dyDescent="0.25">
      <c r="A3069" s="2" t="s">
        <v>2878</v>
      </c>
      <c r="B3069" s="1">
        <v>14785</v>
      </c>
      <c r="C3069" t="s">
        <v>2854</v>
      </c>
      <c r="D3069" t="s">
        <v>2823</v>
      </c>
    </row>
    <row r="3070" spans="1:4" x14ac:dyDescent="0.25">
      <c r="A3070" s="2" t="s">
        <v>2879</v>
      </c>
      <c r="B3070" s="1">
        <v>14774</v>
      </c>
      <c r="C3070" t="s">
        <v>2854</v>
      </c>
      <c r="D3070" t="s">
        <v>2823</v>
      </c>
    </row>
    <row r="3071" spans="1:4" x14ac:dyDescent="0.25">
      <c r="A3071" s="2" t="s">
        <v>2880</v>
      </c>
      <c r="B3071" s="1">
        <v>14761</v>
      </c>
      <c r="C3071" t="s">
        <v>2854</v>
      </c>
      <c r="D3071" t="s">
        <v>2823</v>
      </c>
    </row>
    <row r="3072" spans="1:4" x14ac:dyDescent="0.25">
      <c r="A3072" s="2" t="s">
        <v>2881</v>
      </c>
      <c r="B3072" s="1">
        <v>14769</v>
      </c>
      <c r="C3072" t="s">
        <v>2854</v>
      </c>
      <c r="D3072" t="s">
        <v>2823</v>
      </c>
    </row>
    <row r="3073" spans="1:4" x14ac:dyDescent="0.25">
      <c r="A3073" s="2" t="s">
        <v>2882</v>
      </c>
      <c r="B3073" s="1">
        <v>14733</v>
      </c>
      <c r="C3073" t="s">
        <v>2854</v>
      </c>
      <c r="D3073" t="s">
        <v>2823</v>
      </c>
    </row>
    <row r="3074" spans="1:4" x14ac:dyDescent="0.25">
      <c r="A3074" s="2" t="s">
        <v>2883</v>
      </c>
      <c r="B3074" s="1">
        <v>14733</v>
      </c>
      <c r="C3074" t="s">
        <v>2854</v>
      </c>
      <c r="D3074" t="s">
        <v>2823</v>
      </c>
    </row>
    <row r="3075" spans="1:4" x14ac:dyDescent="0.25">
      <c r="A3075" s="2" t="s">
        <v>2884</v>
      </c>
      <c r="B3075" s="1">
        <v>14733</v>
      </c>
      <c r="C3075" t="s">
        <v>2854</v>
      </c>
      <c r="D3075" t="s">
        <v>2823</v>
      </c>
    </row>
    <row r="3076" spans="1:4" x14ac:dyDescent="0.25">
      <c r="A3076" s="2" t="s">
        <v>2885</v>
      </c>
      <c r="B3076" s="1">
        <v>14733</v>
      </c>
      <c r="C3076" t="s">
        <v>2886</v>
      </c>
      <c r="D3076" t="s">
        <v>2823</v>
      </c>
    </row>
    <row r="3077" spans="1:4" x14ac:dyDescent="0.25">
      <c r="A3077" s="2" t="s">
        <v>2887</v>
      </c>
      <c r="B3077" s="1">
        <v>14502</v>
      </c>
      <c r="C3077" t="s">
        <v>2886</v>
      </c>
      <c r="D3077" t="s">
        <v>2823</v>
      </c>
    </row>
    <row r="3078" spans="1:4" x14ac:dyDescent="0.25">
      <c r="A3078" s="2" t="s">
        <v>2888</v>
      </c>
      <c r="B3078" s="1">
        <v>14245</v>
      </c>
      <c r="C3078" t="s">
        <v>2886</v>
      </c>
      <c r="D3078" t="s">
        <v>2823</v>
      </c>
    </row>
    <row r="3079" spans="1:4" x14ac:dyDescent="0.25">
      <c r="A3079" s="2" t="s">
        <v>2889</v>
      </c>
      <c r="B3079" s="1">
        <v>14165</v>
      </c>
      <c r="C3079" t="s">
        <v>2886</v>
      </c>
      <c r="D3079" t="s">
        <v>2823</v>
      </c>
    </row>
    <row r="3080" spans="1:4" x14ac:dyDescent="0.25">
      <c r="A3080" s="2" t="s">
        <v>2890</v>
      </c>
      <c r="B3080" s="1">
        <v>14100</v>
      </c>
      <c r="C3080" t="s">
        <v>2886</v>
      </c>
      <c r="D3080" t="s">
        <v>2823</v>
      </c>
    </row>
    <row r="3081" spans="1:4" x14ac:dyDescent="0.25">
      <c r="A3081" s="2" t="s">
        <v>2891</v>
      </c>
      <c r="B3081" s="1">
        <v>14100</v>
      </c>
      <c r="C3081" t="s">
        <v>2886</v>
      </c>
      <c r="D3081" t="s">
        <v>2823</v>
      </c>
    </row>
    <row r="3082" spans="1:4" x14ac:dyDescent="0.25">
      <c r="A3082" s="2" t="s">
        <v>2892</v>
      </c>
      <c r="B3082" s="1">
        <v>14100</v>
      </c>
      <c r="C3082" t="s">
        <v>2886</v>
      </c>
      <c r="D3082" t="s">
        <v>2823</v>
      </c>
    </row>
    <row r="3083" spans="1:4" x14ac:dyDescent="0.25">
      <c r="A3083" s="2" t="s">
        <v>2893</v>
      </c>
      <c r="B3083" s="1">
        <v>13956</v>
      </c>
      <c r="C3083" t="s">
        <v>2886</v>
      </c>
      <c r="D3083" t="s">
        <v>2823</v>
      </c>
    </row>
    <row r="3084" spans="1:4" x14ac:dyDescent="0.25">
      <c r="A3084" s="2" t="s">
        <v>2894</v>
      </c>
      <c r="B3084" s="1">
        <v>13973</v>
      </c>
      <c r="C3084" t="s">
        <v>2886</v>
      </c>
      <c r="D3084" t="s">
        <v>2823</v>
      </c>
    </row>
    <row r="3085" spans="1:4" x14ac:dyDescent="0.25">
      <c r="A3085" s="2" t="s">
        <v>2895</v>
      </c>
      <c r="B3085" s="1">
        <v>14083</v>
      </c>
      <c r="C3085" t="s">
        <v>2886</v>
      </c>
      <c r="D3085" t="s">
        <v>2823</v>
      </c>
    </row>
    <row r="3086" spans="1:4" x14ac:dyDescent="0.25">
      <c r="A3086" s="2" t="s">
        <v>2896</v>
      </c>
      <c r="B3086" s="1">
        <v>14014</v>
      </c>
      <c r="C3086" t="s">
        <v>2886</v>
      </c>
      <c r="D3086" t="s">
        <v>2823</v>
      </c>
    </row>
    <row r="3087" spans="1:4" x14ac:dyDescent="0.25">
      <c r="A3087" s="2" t="s">
        <v>2897</v>
      </c>
      <c r="B3087" s="1">
        <v>14257</v>
      </c>
      <c r="C3087" t="s">
        <v>2886</v>
      </c>
      <c r="D3087" t="s">
        <v>2823</v>
      </c>
    </row>
    <row r="3088" spans="1:4" x14ac:dyDescent="0.25">
      <c r="A3088" s="2" t="s">
        <v>2898</v>
      </c>
      <c r="B3088" s="1">
        <v>14257</v>
      </c>
      <c r="C3088" t="s">
        <v>2886</v>
      </c>
      <c r="D3088" t="s">
        <v>2823</v>
      </c>
    </row>
    <row r="3089" spans="1:4" x14ac:dyDescent="0.25">
      <c r="A3089" s="2" t="s">
        <v>2899</v>
      </c>
      <c r="B3089" s="1">
        <v>14257</v>
      </c>
      <c r="C3089" t="s">
        <v>2886</v>
      </c>
      <c r="D3089" t="s">
        <v>2823</v>
      </c>
    </row>
    <row r="3090" spans="1:4" x14ac:dyDescent="0.25">
      <c r="A3090" s="2" t="s">
        <v>2900</v>
      </c>
      <c r="B3090" s="1">
        <v>14228</v>
      </c>
      <c r="C3090" t="s">
        <v>2886</v>
      </c>
      <c r="D3090" t="s">
        <v>2823</v>
      </c>
    </row>
    <row r="3091" spans="1:4" x14ac:dyDescent="0.25">
      <c r="A3091" s="2" t="s">
        <v>2901</v>
      </c>
      <c r="B3091" s="1">
        <v>14155</v>
      </c>
      <c r="C3091" t="s">
        <v>2886</v>
      </c>
      <c r="D3091" t="s">
        <v>2823</v>
      </c>
    </row>
    <row r="3092" spans="1:4" x14ac:dyDescent="0.25">
      <c r="A3092" s="2" t="s">
        <v>2902</v>
      </c>
      <c r="B3092" s="1">
        <v>14234</v>
      </c>
      <c r="C3092" t="s">
        <v>2886</v>
      </c>
      <c r="D3092" t="s">
        <v>2823</v>
      </c>
    </row>
    <row r="3093" spans="1:4" x14ac:dyDescent="0.25">
      <c r="A3093" s="2" t="s">
        <v>2903</v>
      </c>
      <c r="B3093" s="1">
        <v>14186</v>
      </c>
      <c r="C3093" t="s">
        <v>2886</v>
      </c>
      <c r="D3093" t="s">
        <v>2823</v>
      </c>
    </row>
    <row r="3094" spans="1:4" x14ac:dyDescent="0.25">
      <c r="A3094" s="2" t="s">
        <v>2904</v>
      </c>
      <c r="B3094" s="1">
        <v>14242</v>
      </c>
      <c r="C3094" t="s">
        <v>2886</v>
      </c>
      <c r="D3094" t="s">
        <v>2823</v>
      </c>
    </row>
    <row r="3095" spans="1:4" x14ac:dyDescent="0.25">
      <c r="A3095" s="2" t="s">
        <v>2905</v>
      </c>
      <c r="B3095" s="1">
        <v>14242</v>
      </c>
      <c r="C3095" t="s">
        <v>2886</v>
      </c>
      <c r="D3095" t="s">
        <v>2823</v>
      </c>
    </row>
    <row r="3096" spans="1:4" x14ac:dyDescent="0.25">
      <c r="A3096" s="2" t="s">
        <v>2906</v>
      </c>
      <c r="B3096" s="1">
        <v>14242</v>
      </c>
      <c r="C3096" t="s">
        <v>2886</v>
      </c>
      <c r="D3096" t="s">
        <v>2823</v>
      </c>
    </row>
    <row r="3097" spans="1:4" x14ac:dyDescent="0.25">
      <c r="A3097" s="2" t="s">
        <v>2907</v>
      </c>
      <c r="B3097" s="1">
        <v>14209</v>
      </c>
      <c r="C3097" t="s">
        <v>2886</v>
      </c>
      <c r="D3097" t="s">
        <v>2823</v>
      </c>
    </row>
    <row r="3098" spans="1:4" x14ac:dyDescent="0.25">
      <c r="A3098" s="2" t="s">
        <v>2908</v>
      </c>
      <c r="B3098" s="1">
        <v>14265</v>
      </c>
      <c r="C3098" t="s">
        <v>2886</v>
      </c>
      <c r="D3098" t="s">
        <v>2823</v>
      </c>
    </row>
    <row r="3099" spans="1:4" x14ac:dyDescent="0.25">
      <c r="A3099" s="2" t="s">
        <v>2909</v>
      </c>
      <c r="B3099" s="1">
        <v>14160</v>
      </c>
      <c r="C3099" t="s">
        <v>2886</v>
      </c>
      <c r="D3099" t="s">
        <v>2823</v>
      </c>
    </row>
    <row r="3100" spans="1:4" x14ac:dyDescent="0.25">
      <c r="A3100" s="2" t="s">
        <v>2910</v>
      </c>
      <c r="B3100" s="1">
        <v>14231</v>
      </c>
      <c r="C3100" t="s">
        <v>2886</v>
      </c>
      <c r="D3100" t="s">
        <v>2823</v>
      </c>
    </row>
    <row r="3101" spans="1:4" x14ac:dyDescent="0.25">
      <c r="A3101" s="2" t="s">
        <v>2911</v>
      </c>
      <c r="B3101" s="1">
        <v>14239</v>
      </c>
      <c r="C3101" t="s">
        <v>2886</v>
      </c>
      <c r="D3101" t="s">
        <v>2823</v>
      </c>
    </row>
    <row r="3102" spans="1:4" x14ac:dyDescent="0.25">
      <c r="A3102" s="2" t="s">
        <v>2912</v>
      </c>
      <c r="B3102" s="1">
        <v>14239</v>
      </c>
      <c r="C3102" t="s">
        <v>2886</v>
      </c>
      <c r="D3102" t="s">
        <v>2823</v>
      </c>
    </row>
    <row r="3103" spans="1:4" x14ac:dyDescent="0.25">
      <c r="A3103" s="2" t="s">
        <v>2913</v>
      </c>
      <c r="B3103" s="1">
        <v>14239</v>
      </c>
      <c r="C3103" t="s">
        <v>2886</v>
      </c>
      <c r="D3103" t="s">
        <v>2823</v>
      </c>
    </row>
    <row r="3104" spans="1:4" x14ac:dyDescent="0.25">
      <c r="A3104" s="2" t="s">
        <v>2914</v>
      </c>
      <c r="B3104" s="1">
        <v>14369</v>
      </c>
      <c r="C3104" t="s">
        <v>2886</v>
      </c>
      <c r="D3104" t="s">
        <v>2823</v>
      </c>
    </row>
    <row r="3105" spans="1:4" x14ac:dyDescent="0.25">
      <c r="A3105" s="2" t="s">
        <v>2915</v>
      </c>
      <c r="B3105" s="1">
        <v>14302</v>
      </c>
      <c r="C3105" t="s">
        <v>2886</v>
      </c>
      <c r="D3105" t="s">
        <v>2823</v>
      </c>
    </row>
    <row r="3106" spans="1:4" x14ac:dyDescent="0.25">
      <c r="A3106" s="2" t="s">
        <v>2916</v>
      </c>
      <c r="B3106" s="1">
        <v>14341</v>
      </c>
      <c r="C3106" t="s">
        <v>2917</v>
      </c>
      <c r="D3106" t="s">
        <v>2918</v>
      </c>
    </row>
    <row r="3107" spans="1:4" x14ac:dyDescent="0.25">
      <c r="A3107" s="2" t="s">
        <v>2919</v>
      </c>
      <c r="B3107" s="1">
        <v>14516</v>
      </c>
      <c r="C3107" t="s">
        <v>2917</v>
      </c>
      <c r="D3107" t="s">
        <v>2918</v>
      </c>
    </row>
    <row r="3108" spans="1:4" x14ac:dyDescent="0.25">
      <c r="A3108" s="2" t="s">
        <v>2920</v>
      </c>
      <c r="B3108" s="1">
        <v>14566</v>
      </c>
      <c r="C3108" t="s">
        <v>2917</v>
      </c>
      <c r="D3108" t="s">
        <v>2918</v>
      </c>
    </row>
    <row r="3109" spans="1:4" x14ac:dyDescent="0.25">
      <c r="A3109" s="2" t="s">
        <v>2921</v>
      </c>
      <c r="B3109" s="1">
        <v>14566</v>
      </c>
      <c r="C3109" t="s">
        <v>2917</v>
      </c>
      <c r="D3109" t="s">
        <v>2918</v>
      </c>
    </row>
    <row r="3110" spans="1:4" x14ac:dyDescent="0.25">
      <c r="A3110" s="2" t="s">
        <v>2922</v>
      </c>
      <c r="B3110" s="1">
        <v>14566</v>
      </c>
      <c r="C3110" t="s">
        <v>2917</v>
      </c>
      <c r="D3110" t="s">
        <v>2918</v>
      </c>
    </row>
    <row r="3111" spans="1:4" x14ac:dyDescent="0.25">
      <c r="A3111" s="2" t="s">
        <v>2923</v>
      </c>
      <c r="B3111" s="1">
        <v>14547</v>
      </c>
      <c r="C3111" t="s">
        <v>2917</v>
      </c>
      <c r="D3111" t="s">
        <v>2918</v>
      </c>
    </row>
    <row r="3112" spans="1:4" x14ac:dyDescent="0.25">
      <c r="A3112" s="2" t="s">
        <v>2924</v>
      </c>
      <c r="B3112" s="1">
        <v>14456</v>
      </c>
      <c r="C3112" t="s">
        <v>2917</v>
      </c>
      <c r="D3112" t="s">
        <v>2918</v>
      </c>
    </row>
    <row r="3113" spans="1:4" x14ac:dyDescent="0.25">
      <c r="A3113" s="2" t="s">
        <v>2925</v>
      </c>
      <c r="B3113" s="1">
        <v>14460</v>
      </c>
      <c r="C3113" t="s">
        <v>2917</v>
      </c>
      <c r="D3113" t="s">
        <v>2918</v>
      </c>
    </row>
    <row r="3114" spans="1:4" x14ac:dyDescent="0.25">
      <c r="A3114" s="2" t="s">
        <v>2926</v>
      </c>
      <c r="B3114" s="1">
        <v>14446</v>
      </c>
      <c r="C3114" t="s">
        <v>2917</v>
      </c>
      <c r="D3114" t="s">
        <v>2918</v>
      </c>
    </row>
    <row r="3115" spans="1:4" x14ac:dyDescent="0.25">
      <c r="A3115" s="2" t="s">
        <v>2927</v>
      </c>
      <c r="B3115" s="1">
        <v>14501</v>
      </c>
      <c r="C3115" t="s">
        <v>2917</v>
      </c>
      <c r="D3115" t="s">
        <v>2918</v>
      </c>
    </row>
    <row r="3116" spans="1:4" x14ac:dyDescent="0.25">
      <c r="A3116" s="2" t="s">
        <v>2928</v>
      </c>
      <c r="B3116" s="1">
        <v>14501</v>
      </c>
      <c r="C3116" t="s">
        <v>2917</v>
      </c>
      <c r="D3116" t="s">
        <v>2918</v>
      </c>
    </row>
    <row r="3117" spans="1:4" x14ac:dyDescent="0.25">
      <c r="A3117" s="2" t="s">
        <v>2929</v>
      </c>
      <c r="B3117" s="1">
        <v>14501</v>
      </c>
      <c r="C3117" t="s">
        <v>2917</v>
      </c>
      <c r="D3117" t="s">
        <v>2918</v>
      </c>
    </row>
    <row r="3118" spans="1:4" x14ac:dyDescent="0.25">
      <c r="A3118" s="2" t="s">
        <v>2930</v>
      </c>
      <c r="B3118" s="1">
        <v>14486</v>
      </c>
      <c r="C3118" t="s">
        <v>2917</v>
      </c>
      <c r="D3118" t="s">
        <v>2918</v>
      </c>
    </row>
    <row r="3119" spans="1:4" x14ac:dyDescent="0.25">
      <c r="A3119" s="2" t="s">
        <v>2931</v>
      </c>
      <c r="B3119" s="1">
        <v>14512</v>
      </c>
      <c r="C3119" t="s">
        <v>2917</v>
      </c>
      <c r="D3119" t="s">
        <v>2918</v>
      </c>
    </row>
    <row r="3120" spans="1:4" x14ac:dyDescent="0.25">
      <c r="A3120" s="2" t="s">
        <v>2932</v>
      </c>
      <c r="B3120" s="1">
        <v>14616</v>
      </c>
      <c r="C3120" t="s">
        <v>2917</v>
      </c>
      <c r="D3120" t="s">
        <v>2918</v>
      </c>
    </row>
    <row r="3121" spans="1:4" x14ac:dyDescent="0.25">
      <c r="A3121" s="2" t="s">
        <v>2933</v>
      </c>
      <c r="B3121" s="1">
        <v>14632</v>
      </c>
      <c r="C3121" t="s">
        <v>2917</v>
      </c>
      <c r="D3121" t="s">
        <v>2918</v>
      </c>
    </row>
    <row r="3122" spans="1:4" x14ac:dyDescent="0.25">
      <c r="A3122" s="2" t="s">
        <v>2934</v>
      </c>
      <c r="B3122" s="1">
        <v>14780</v>
      </c>
      <c r="C3122" t="s">
        <v>2917</v>
      </c>
      <c r="D3122" t="s">
        <v>2918</v>
      </c>
    </row>
    <row r="3123" spans="1:4" x14ac:dyDescent="0.25">
      <c r="A3123" s="2" t="s">
        <v>2935</v>
      </c>
      <c r="B3123" s="1">
        <v>14780</v>
      </c>
      <c r="C3123" t="s">
        <v>2917</v>
      </c>
      <c r="D3123" t="s">
        <v>2918</v>
      </c>
    </row>
    <row r="3124" spans="1:4" x14ac:dyDescent="0.25">
      <c r="A3124" s="2" t="s">
        <v>2936</v>
      </c>
      <c r="B3124" s="1">
        <v>14780</v>
      </c>
      <c r="C3124" t="s">
        <v>2917</v>
      </c>
      <c r="D3124" t="s">
        <v>2918</v>
      </c>
    </row>
    <row r="3125" spans="1:4" x14ac:dyDescent="0.25">
      <c r="A3125" s="2" t="s">
        <v>2937</v>
      </c>
      <c r="B3125" s="1">
        <v>14832</v>
      </c>
      <c r="C3125" t="s">
        <v>2917</v>
      </c>
      <c r="D3125" t="s">
        <v>2918</v>
      </c>
    </row>
    <row r="3126" spans="1:4" x14ac:dyDescent="0.25">
      <c r="A3126" s="2" t="s">
        <v>2938</v>
      </c>
      <c r="B3126" s="1">
        <v>14813</v>
      </c>
      <c r="C3126" t="s">
        <v>2917</v>
      </c>
      <c r="D3126" t="s">
        <v>2918</v>
      </c>
    </row>
    <row r="3127" spans="1:4" x14ac:dyDescent="0.25">
      <c r="A3127" s="2" t="s">
        <v>2939</v>
      </c>
      <c r="B3127" s="1">
        <v>14655</v>
      </c>
      <c r="C3127" t="s">
        <v>2917</v>
      </c>
      <c r="D3127" t="s">
        <v>2918</v>
      </c>
    </row>
    <row r="3128" spans="1:4" x14ac:dyDescent="0.25">
      <c r="A3128" s="2" t="s">
        <v>2940</v>
      </c>
      <c r="B3128" s="1">
        <v>14669</v>
      </c>
      <c r="C3128" t="s">
        <v>2917</v>
      </c>
      <c r="D3128" t="s">
        <v>2918</v>
      </c>
    </row>
    <row r="3129" spans="1:4" x14ac:dyDescent="0.25">
      <c r="A3129" s="2" t="s">
        <v>2941</v>
      </c>
      <c r="B3129" s="1">
        <v>14614</v>
      </c>
      <c r="C3129" t="s">
        <v>2917</v>
      </c>
      <c r="D3129" t="s">
        <v>2918</v>
      </c>
    </row>
    <row r="3130" spans="1:4" x14ac:dyDescent="0.25">
      <c r="A3130" s="2" t="s">
        <v>2942</v>
      </c>
      <c r="B3130" s="1">
        <v>14614</v>
      </c>
      <c r="C3130" t="s">
        <v>2917</v>
      </c>
      <c r="D3130" t="s">
        <v>2918</v>
      </c>
    </row>
    <row r="3131" spans="1:4" x14ac:dyDescent="0.25">
      <c r="A3131" s="2" t="s">
        <v>2943</v>
      </c>
      <c r="B3131" s="1">
        <v>14614</v>
      </c>
      <c r="C3131" t="s">
        <v>2917</v>
      </c>
      <c r="D3131" t="s">
        <v>2918</v>
      </c>
    </row>
    <row r="3132" spans="1:4" x14ac:dyDescent="0.25">
      <c r="A3132" s="2" t="s">
        <v>2944</v>
      </c>
      <c r="B3132" s="1">
        <v>14605</v>
      </c>
      <c r="C3132" t="s">
        <v>2917</v>
      </c>
      <c r="D3132" t="s">
        <v>2918</v>
      </c>
    </row>
    <row r="3133" spans="1:4" x14ac:dyDescent="0.25">
      <c r="A3133" s="2" t="s">
        <v>2945</v>
      </c>
      <c r="B3133" s="1">
        <v>14543</v>
      </c>
      <c r="C3133" t="s">
        <v>2917</v>
      </c>
      <c r="D3133" t="s">
        <v>2918</v>
      </c>
    </row>
    <row r="3134" spans="1:4" x14ac:dyDescent="0.25">
      <c r="A3134" s="2" t="s">
        <v>2946</v>
      </c>
      <c r="B3134" s="1">
        <v>14570</v>
      </c>
      <c r="C3134" t="s">
        <v>2917</v>
      </c>
      <c r="D3134" t="s">
        <v>2918</v>
      </c>
    </row>
    <row r="3135" spans="1:4" x14ac:dyDescent="0.25">
      <c r="A3135" s="2" t="s">
        <v>2947</v>
      </c>
      <c r="B3135" s="1">
        <v>14653</v>
      </c>
      <c r="C3135" t="s">
        <v>2917</v>
      </c>
      <c r="D3135" t="s">
        <v>2918</v>
      </c>
    </row>
    <row r="3136" spans="1:4" x14ac:dyDescent="0.25">
      <c r="A3136" s="2" t="s">
        <v>2948</v>
      </c>
      <c r="B3136" s="1">
        <v>14653</v>
      </c>
      <c r="C3136" t="s">
        <v>2917</v>
      </c>
      <c r="D3136" t="s">
        <v>2918</v>
      </c>
    </row>
    <row r="3137" spans="1:4" x14ac:dyDescent="0.25">
      <c r="A3137" s="2" t="s">
        <v>2949</v>
      </c>
      <c r="B3137" s="1">
        <v>14653</v>
      </c>
      <c r="C3137" t="s">
        <v>2950</v>
      </c>
      <c r="D3137" t="s">
        <v>2918</v>
      </c>
    </row>
    <row r="3138" spans="1:4" x14ac:dyDescent="0.25">
      <c r="A3138" s="2" t="s">
        <v>2951</v>
      </c>
      <c r="B3138" s="1">
        <v>14653</v>
      </c>
      <c r="C3138" t="s">
        <v>2950</v>
      </c>
      <c r="D3138" t="s">
        <v>2918</v>
      </c>
    </row>
    <row r="3139" spans="1:4" x14ac:dyDescent="0.25">
      <c r="A3139" s="2" t="s">
        <v>2952</v>
      </c>
      <c r="B3139" s="1">
        <v>14713</v>
      </c>
      <c r="C3139" t="s">
        <v>2950</v>
      </c>
      <c r="D3139" t="s">
        <v>2918</v>
      </c>
    </row>
    <row r="3140" spans="1:4" x14ac:dyDescent="0.25">
      <c r="A3140" s="2" t="s">
        <v>2953</v>
      </c>
      <c r="B3140" s="1">
        <v>14697</v>
      </c>
      <c r="C3140" t="s">
        <v>2950</v>
      </c>
      <c r="D3140" t="s">
        <v>2918</v>
      </c>
    </row>
    <row r="3141" spans="1:4" x14ac:dyDescent="0.25">
      <c r="A3141" s="2" t="s">
        <v>2954</v>
      </c>
      <c r="B3141" s="1">
        <v>14623</v>
      </c>
      <c r="C3141" t="s">
        <v>2950</v>
      </c>
      <c r="D3141" t="s">
        <v>2918</v>
      </c>
    </row>
    <row r="3142" spans="1:4" x14ac:dyDescent="0.25">
      <c r="A3142" s="2" t="s">
        <v>2955</v>
      </c>
      <c r="B3142" s="1">
        <v>14587</v>
      </c>
      <c r="C3142" t="s">
        <v>2950</v>
      </c>
      <c r="D3142" t="s">
        <v>2918</v>
      </c>
    </row>
    <row r="3143" spans="1:4" x14ac:dyDescent="0.25">
      <c r="A3143" s="2" t="s">
        <v>2956</v>
      </c>
      <c r="B3143" s="1">
        <v>14647</v>
      </c>
      <c r="C3143" t="s">
        <v>2950</v>
      </c>
      <c r="D3143" t="s">
        <v>2918</v>
      </c>
    </row>
    <row r="3144" spans="1:4" x14ac:dyDescent="0.25">
      <c r="A3144" s="2" t="s">
        <v>2957</v>
      </c>
      <c r="B3144" s="1">
        <v>14647</v>
      </c>
      <c r="C3144" t="s">
        <v>2950</v>
      </c>
      <c r="D3144" t="s">
        <v>2918</v>
      </c>
    </row>
    <row r="3145" spans="1:4" x14ac:dyDescent="0.25">
      <c r="A3145" s="2" t="s">
        <v>2958</v>
      </c>
      <c r="B3145" s="1">
        <v>14647</v>
      </c>
      <c r="C3145" t="s">
        <v>2950</v>
      </c>
      <c r="D3145" t="s">
        <v>2918</v>
      </c>
    </row>
    <row r="3146" spans="1:4" x14ac:dyDescent="0.25">
      <c r="A3146" s="2" t="s">
        <v>2959</v>
      </c>
      <c r="B3146" s="1">
        <v>14750</v>
      </c>
      <c r="C3146" t="s">
        <v>2950</v>
      </c>
      <c r="D3146" t="s">
        <v>2918</v>
      </c>
    </row>
    <row r="3147" spans="1:4" x14ac:dyDescent="0.25">
      <c r="A3147" s="2" t="s">
        <v>2960</v>
      </c>
      <c r="B3147" s="1">
        <v>14728</v>
      </c>
      <c r="C3147" t="s">
        <v>2950</v>
      </c>
      <c r="D3147" t="s">
        <v>2918</v>
      </c>
    </row>
    <row r="3148" spans="1:4" x14ac:dyDescent="0.25">
      <c r="A3148" s="2" t="s">
        <v>2961</v>
      </c>
      <c r="B3148" s="1">
        <v>14777</v>
      </c>
      <c r="C3148" t="s">
        <v>2950</v>
      </c>
      <c r="D3148" t="s">
        <v>2918</v>
      </c>
    </row>
    <row r="3149" spans="1:4" x14ac:dyDescent="0.25">
      <c r="A3149" s="2" t="s">
        <v>2962</v>
      </c>
      <c r="B3149" s="1">
        <v>14877</v>
      </c>
      <c r="C3149" t="s">
        <v>2950</v>
      </c>
      <c r="D3149" t="s">
        <v>2918</v>
      </c>
    </row>
    <row r="3150" spans="1:4" x14ac:dyDescent="0.25">
      <c r="A3150" s="2" t="s">
        <v>2963</v>
      </c>
      <c r="B3150" s="1">
        <v>14917</v>
      </c>
      <c r="C3150" t="s">
        <v>2950</v>
      </c>
      <c r="D3150" t="s">
        <v>2918</v>
      </c>
    </row>
    <row r="3151" spans="1:4" x14ac:dyDescent="0.25">
      <c r="A3151" s="2" t="s">
        <v>2964</v>
      </c>
      <c r="B3151" s="1">
        <v>14917</v>
      </c>
      <c r="C3151" t="s">
        <v>2950</v>
      </c>
      <c r="D3151" t="s">
        <v>2918</v>
      </c>
    </row>
    <row r="3152" spans="1:4" x14ac:dyDescent="0.25">
      <c r="A3152" s="2" t="s">
        <v>2965</v>
      </c>
      <c r="B3152" s="1">
        <v>14917</v>
      </c>
      <c r="C3152" t="s">
        <v>2950</v>
      </c>
      <c r="D3152" t="s">
        <v>2918</v>
      </c>
    </row>
    <row r="3153" spans="1:4" x14ac:dyDescent="0.25">
      <c r="A3153" s="2" t="s">
        <v>2966</v>
      </c>
      <c r="B3153" s="1">
        <v>14917</v>
      </c>
      <c r="C3153" t="s">
        <v>2950</v>
      </c>
      <c r="D3153" t="s">
        <v>2918</v>
      </c>
    </row>
    <row r="3154" spans="1:4" x14ac:dyDescent="0.25">
      <c r="A3154" s="2" t="s">
        <v>2967</v>
      </c>
      <c r="B3154" s="1">
        <v>14907</v>
      </c>
      <c r="C3154" t="s">
        <v>2950</v>
      </c>
      <c r="D3154" t="s">
        <v>2918</v>
      </c>
    </row>
    <row r="3155" spans="1:4" x14ac:dyDescent="0.25">
      <c r="A3155" s="2" t="s">
        <v>2968</v>
      </c>
      <c r="B3155" s="1">
        <v>14786</v>
      </c>
      <c r="C3155" t="s">
        <v>2950</v>
      </c>
      <c r="D3155" t="s">
        <v>2918</v>
      </c>
    </row>
    <row r="3156" spans="1:4" x14ac:dyDescent="0.25">
      <c r="A3156" s="2" t="s">
        <v>2969</v>
      </c>
      <c r="B3156" s="1">
        <v>14786</v>
      </c>
      <c r="C3156" t="s">
        <v>2950</v>
      </c>
      <c r="D3156" t="s">
        <v>2918</v>
      </c>
    </row>
    <row r="3157" spans="1:4" x14ac:dyDescent="0.25">
      <c r="A3157" s="2" t="s">
        <v>2970</v>
      </c>
      <c r="B3157" s="1">
        <v>14786</v>
      </c>
      <c r="C3157" t="s">
        <v>2950</v>
      </c>
      <c r="D3157" t="s">
        <v>2918</v>
      </c>
    </row>
    <row r="3158" spans="1:4" x14ac:dyDescent="0.25">
      <c r="A3158" s="2" t="s">
        <v>2971</v>
      </c>
      <c r="B3158" s="1">
        <v>14786</v>
      </c>
      <c r="C3158" t="s">
        <v>2950</v>
      </c>
      <c r="D3158" t="s">
        <v>2918</v>
      </c>
    </row>
    <row r="3159" spans="1:4" x14ac:dyDescent="0.25">
      <c r="A3159" s="2" t="s">
        <v>2972</v>
      </c>
      <c r="B3159" s="1">
        <v>14786</v>
      </c>
      <c r="C3159" t="s">
        <v>2950</v>
      </c>
      <c r="D3159" t="s">
        <v>2918</v>
      </c>
    </row>
    <row r="3160" spans="1:4" x14ac:dyDescent="0.25">
      <c r="A3160" s="2" t="s">
        <v>2973</v>
      </c>
      <c r="B3160" s="1">
        <v>14794</v>
      </c>
      <c r="C3160" t="s">
        <v>2950</v>
      </c>
      <c r="D3160" t="s">
        <v>2918</v>
      </c>
    </row>
    <row r="3161" spans="1:4" x14ac:dyDescent="0.25">
      <c r="A3161" s="2" t="s">
        <v>2974</v>
      </c>
      <c r="B3161" s="1">
        <v>14632</v>
      </c>
      <c r="C3161" t="s">
        <v>2950</v>
      </c>
      <c r="D3161" t="s">
        <v>2918</v>
      </c>
    </row>
    <row r="3162" spans="1:4" x14ac:dyDescent="0.25">
      <c r="A3162" s="2" t="s">
        <v>2975</v>
      </c>
      <c r="B3162" s="1">
        <v>14636</v>
      </c>
      <c r="C3162" t="s">
        <v>2950</v>
      </c>
      <c r="D3162" t="s">
        <v>2918</v>
      </c>
    </row>
    <row r="3163" spans="1:4" x14ac:dyDescent="0.25">
      <c r="A3163" s="2" t="s">
        <v>2976</v>
      </c>
      <c r="B3163" s="1">
        <v>14714</v>
      </c>
      <c r="C3163" t="s">
        <v>2950</v>
      </c>
      <c r="D3163" t="s">
        <v>2918</v>
      </c>
    </row>
    <row r="3164" spans="1:4" x14ac:dyDescent="0.25">
      <c r="A3164" s="2" t="s">
        <v>2977</v>
      </c>
      <c r="B3164" s="1">
        <v>14702</v>
      </c>
      <c r="C3164" t="s">
        <v>2950</v>
      </c>
      <c r="D3164" t="s">
        <v>2918</v>
      </c>
    </row>
    <row r="3165" spans="1:4" x14ac:dyDescent="0.25">
      <c r="A3165" s="2" t="s">
        <v>2978</v>
      </c>
      <c r="B3165" s="1">
        <v>14702</v>
      </c>
      <c r="C3165" t="s">
        <v>2950</v>
      </c>
      <c r="D3165" t="s">
        <v>2918</v>
      </c>
    </row>
    <row r="3166" spans="1:4" x14ac:dyDescent="0.25">
      <c r="A3166" s="2" t="s">
        <v>2979</v>
      </c>
      <c r="B3166" s="1">
        <v>14702</v>
      </c>
      <c r="C3166" t="s">
        <v>2950</v>
      </c>
      <c r="D3166" t="s">
        <v>2918</v>
      </c>
    </row>
    <row r="3167" spans="1:4" x14ac:dyDescent="0.25">
      <c r="A3167" s="2" t="s">
        <v>2980</v>
      </c>
      <c r="B3167" s="1">
        <v>14554</v>
      </c>
      <c r="C3167" t="s">
        <v>2950</v>
      </c>
      <c r="D3167" t="s">
        <v>2918</v>
      </c>
    </row>
    <row r="3168" spans="1:4" x14ac:dyDescent="0.25">
      <c r="A3168" s="2" t="s">
        <v>2981</v>
      </c>
      <c r="B3168" s="1">
        <v>14615</v>
      </c>
      <c r="C3168" t="s">
        <v>2982</v>
      </c>
      <c r="D3168" t="s">
        <v>2918</v>
      </c>
    </row>
    <row r="3169" spans="1:4" x14ac:dyDescent="0.25">
      <c r="A3169" s="2" t="s">
        <v>2983</v>
      </c>
      <c r="B3169" s="1">
        <v>14804</v>
      </c>
      <c r="C3169" t="s">
        <v>2982</v>
      </c>
      <c r="D3169" t="s">
        <v>2918</v>
      </c>
    </row>
    <row r="3170" spans="1:4" x14ac:dyDescent="0.25">
      <c r="A3170" s="2" t="s">
        <v>2984</v>
      </c>
      <c r="B3170" s="1">
        <v>14818</v>
      </c>
      <c r="C3170" t="s">
        <v>2982</v>
      </c>
      <c r="D3170" t="s">
        <v>2918</v>
      </c>
    </row>
    <row r="3171" spans="1:4" x14ac:dyDescent="0.25">
      <c r="A3171" s="2" t="s">
        <v>2985</v>
      </c>
      <c r="B3171" s="1">
        <v>14792</v>
      </c>
      <c r="C3171" t="s">
        <v>2982</v>
      </c>
      <c r="D3171" t="s">
        <v>2918</v>
      </c>
    </row>
    <row r="3172" spans="1:4" x14ac:dyDescent="0.25">
      <c r="A3172" s="2" t="s">
        <v>2986</v>
      </c>
      <c r="B3172" s="1">
        <v>14792</v>
      </c>
      <c r="C3172" t="s">
        <v>2982</v>
      </c>
      <c r="D3172" t="s">
        <v>2918</v>
      </c>
    </row>
    <row r="3173" spans="1:4" x14ac:dyDescent="0.25">
      <c r="A3173" s="2" t="s">
        <v>2987</v>
      </c>
      <c r="B3173" s="1">
        <v>14792</v>
      </c>
      <c r="C3173" t="s">
        <v>2982</v>
      </c>
      <c r="D3173" t="s">
        <v>2918</v>
      </c>
    </row>
    <row r="3174" spans="1:4" x14ac:dyDescent="0.25">
      <c r="A3174" s="2" t="s">
        <v>2988</v>
      </c>
      <c r="B3174" s="1">
        <v>14754</v>
      </c>
      <c r="C3174" t="s">
        <v>2982</v>
      </c>
      <c r="D3174" t="s">
        <v>2918</v>
      </c>
    </row>
    <row r="3175" spans="1:4" x14ac:dyDescent="0.25">
      <c r="A3175" s="2" t="s">
        <v>2989</v>
      </c>
      <c r="B3175" s="1">
        <v>14798</v>
      </c>
      <c r="C3175" t="s">
        <v>2982</v>
      </c>
      <c r="D3175" t="s">
        <v>2918</v>
      </c>
    </row>
    <row r="3176" spans="1:4" x14ac:dyDescent="0.25">
      <c r="A3176" s="2" t="s">
        <v>2990</v>
      </c>
      <c r="B3176" s="1">
        <v>14853</v>
      </c>
      <c r="C3176" t="s">
        <v>2982</v>
      </c>
      <c r="D3176" t="s">
        <v>2918</v>
      </c>
    </row>
    <row r="3177" spans="1:4" x14ac:dyDescent="0.25">
      <c r="A3177" s="2" t="s">
        <v>2991</v>
      </c>
      <c r="B3177" s="1">
        <v>14871</v>
      </c>
      <c r="C3177" t="s">
        <v>2982</v>
      </c>
      <c r="D3177" t="s">
        <v>2918</v>
      </c>
    </row>
    <row r="3178" spans="1:4" x14ac:dyDescent="0.25">
      <c r="A3178" s="2" t="s">
        <v>2992</v>
      </c>
      <c r="B3178" s="1">
        <v>14979</v>
      </c>
      <c r="C3178" t="s">
        <v>2982</v>
      </c>
      <c r="D3178" t="s">
        <v>2918</v>
      </c>
    </row>
    <row r="3179" spans="1:4" x14ac:dyDescent="0.25">
      <c r="A3179" s="2" t="s">
        <v>2993</v>
      </c>
      <c r="B3179" s="1">
        <v>14979</v>
      </c>
      <c r="C3179" t="s">
        <v>2982</v>
      </c>
      <c r="D3179" t="s">
        <v>2918</v>
      </c>
    </row>
    <row r="3180" spans="1:4" x14ac:dyDescent="0.25">
      <c r="A3180" s="2" t="s">
        <v>2994</v>
      </c>
      <c r="B3180" s="1">
        <v>14979</v>
      </c>
      <c r="C3180" t="s">
        <v>2982</v>
      </c>
      <c r="D3180" t="s">
        <v>2918</v>
      </c>
    </row>
    <row r="3181" spans="1:4" x14ac:dyDescent="0.25">
      <c r="A3181" s="2" t="s">
        <v>2995</v>
      </c>
      <c r="B3181" s="1">
        <v>14974</v>
      </c>
      <c r="C3181" t="s">
        <v>2982</v>
      </c>
      <c r="D3181" t="s">
        <v>2918</v>
      </c>
    </row>
    <row r="3182" spans="1:4" x14ac:dyDescent="0.25">
      <c r="A3182" s="2" t="s">
        <v>2996</v>
      </c>
      <c r="B3182" s="1">
        <v>14870</v>
      </c>
      <c r="C3182" t="s">
        <v>2982</v>
      </c>
      <c r="D3182" t="s">
        <v>2918</v>
      </c>
    </row>
    <row r="3183" spans="1:4" x14ac:dyDescent="0.25">
      <c r="A3183" s="2" t="s">
        <v>2997</v>
      </c>
      <c r="B3183" s="1">
        <v>14844</v>
      </c>
      <c r="C3183" t="s">
        <v>2982</v>
      </c>
      <c r="D3183" t="s">
        <v>2918</v>
      </c>
    </row>
    <row r="3184" spans="1:4" x14ac:dyDescent="0.25">
      <c r="A3184" s="2" t="s">
        <v>2998</v>
      </c>
      <c r="B3184" s="1">
        <v>14878</v>
      </c>
      <c r="C3184" t="s">
        <v>2982</v>
      </c>
      <c r="D3184" t="s">
        <v>2918</v>
      </c>
    </row>
    <row r="3185" spans="1:4" x14ac:dyDescent="0.25">
      <c r="A3185" s="2" t="s">
        <v>2999</v>
      </c>
      <c r="B3185" s="1">
        <v>14768</v>
      </c>
      <c r="C3185" t="s">
        <v>2982</v>
      </c>
      <c r="D3185" t="s">
        <v>2918</v>
      </c>
    </row>
    <row r="3186" spans="1:4" x14ac:dyDescent="0.25">
      <c r="A3186" s="2" t="s">
        <v>3000</v>
      </c>
      <c r="B3186" s="1">
        <v>14768</v>
      </c>
      <c r="C3186" t="s">
        <v>2982</v>
      </c>
      <c r="D3186" t="s">
        <v>2918</v>
      </c>
    </row>
    <row r="3187" spans="1:4" x14ac:dyDescent="0.25">
      <c r="A3187" s="2" t="s">
        <v>3001</v>
      </c>
      <c r="B3187" s="1">
        <v>14768</v>
      </c>
      <c r="C3187" t="s">
        <v>2982</v>
      </c>
      <c r="D3187" t="s">
        <v>2918</v>
      </c>
    </row>
    <row r="3188" spans="1:4" x14ac:dyDescent="0.25">
      <c r="A3188" s="2" t="s">
        <v>3002</v>
      </c>
      <c r="B3188" s="1">
        <v>14723</v>
      </c>
      <c r="C3188" t="s">
        <v>2982</v>
      </c>
      <c r="D3188" t="s">
        <v>2918</v>
      </c>
    </row>
    <row r="3189" spans="1:4" x14ac:dyDescent="0.25">
      <c r="A3189" s="2" t="s">
        <v>3003</v>
      </c>
      <c r="B3189" s="1">
        <v>14782</v>
      </c>
      <c r="C3189" t="s">
        <v>2982</v>
      </c>
      <c r="D3189" t="s">
        <v>2918</v>
      </c>
    </row>
    <row r="3190" spans="1:4" x14ac:dyDescent="0.25">
      <c r="A3190" s="2" t="s">
        <v>3004</v>
      </c>
      <c r="B3190" s="1">
        <v>14835</v>
      </c>
      <c r="C3190" t="s">
        <v>2982</v>
      </c>
      <c r="D3190" t="s">
        <v>2918</v>
      </c>
    </row>
    <row r="3191" spans="1:4" x14ac:dyDescent="0.25">
      <c r="A3191" s="2" t="s">
        <v>3005</v>
      </c>
      <c r="B3191" s="1">
        <v>14949</v>
      </c>
      <c r="C3191" t="s">
        <v>2982</v>
      </c>
      <c r="D3191" t="s">
        <v>2918</v>
      </c>
    </row>
    <row r="3192" spans="1:4" x14ac:dyDescent="0.25">
      <c r="A3192" s="2" t="s">
        <v>3006</v>
      </c>
      <c r="B3192" s="1">
        <v>14951</v>
      </c>
      <c r="C3192" t="s">
        <v>2982</v>
      </c>
      <c r="D3192" t="s">
        <v>2918</v>
      </c>
    </row>
    <row r="3193" spans="1:4" x14ac:dyDescent="0.25">
      <c r="A3193" s="2" t="s">
        <v>3007</v>
      </c>
      <c r="B3193" s="1">
        <v>14951</v>
      </c>
      <c r="C3193" t="s">
        <v>2982</v>
      </c>
      <c r="D3193" t="s">
        <v>2918</v>
      </c>
    </row>
    <row r="3194" spans="1:4" x14ac:dyDescent="0.25">
      <c r="A3194" s="2" t="s">
        <v>3008</v>
      </c>
      <c r="B3194" s="1">
        <v>14951</v>
      </c>
      <c r="C3194" t="s">
        <v>2982</v>
      </c>
      <c r="D3194" t="s">
        <v>2918</v>
      </c>
    </row>
    <row r="3195" spans="1:4" x14ac:dyDescent="0.25">
      <c r="A3195" s="2" t="s">
        <v>3009</v>
      </c>
      <c r="B3195" s="1">
        <v>14959</v>
      </c>
      <c r="C3195" t="s">
        <v>2982</v>
      </c>
      <c r="D3195" t="s">
        <v>2918</v>
      </c>
    </row>
    <row r="3196" spans="1:4" x14ac:dyDescent="0.25">
      <c r="A3196" s="2" t="s">
        <v>3010</v>
      </c>
      <c r="B3196" s="1">
        <v>14920</v>
      </c>
      <c r="C3196" t="s">
        <v>2982</v>
      </c>
      <c r="D3196" t="s">
        <v>2918</v>
      </c>
    </row>
    <row r="3197" spans="1:4" x14ac:dyDescent="0.25">
      <c r="A3197" s="2" t="s">
        <v>3011</v>
      </c>
      <c r="B3197" s="1">
        <v>14918</v>
      </c>
      <c r="C3197" t="s">
        <v>2982</v>
      </c>
      <c r="D3197" t="s">
        <v>2918</v>
      </c>
    </row>
    <row r="3198" spans="1:4" x14ac:dyDescent="0.25">
      <c r="A3198" s="2" t="s">
        <v>3012</v>
      </c>
      <c r="B3198" s="1">
        <v>14876</v>
      </c>
      <c r="C3198" t="s">
        <v>3013</v>
      </c>
      <c r="D3198" t="s">
        <v>3014</v>
      </c>
    </row>
    <row r="3199" spans="1:4" x14ac:dyDescent="0.25">
      <c r="A3199" s="2" t="s">
        <v>3015</v>
      </c>
      <c r="B3199" s="1">
        <v>14890</v>
      </c>
      <c r="C3199" t="s">
        <v>3013</v>
      </c>
      <c r="D3199" t="s">
        <v>3014</v>
      </c>
    </row>
    <row r="3200" spans="1:4" x14ac:dyDescent="0.25">
      <c r="A3200" s="2" t="s">
        <v>3016</v>
      </c>
      <c r="B3200" s="1">
        <v>14890</v>
      </c>
      <c r="C3200" t="s">
        <v>3013</v>
      </c>
      <c r="D3200" t="s">
        <v>3014</v>
      </c>
    </row>
    <row r="3201" spans="1:4" x14ac:dyDescent="0.25">
      <c r="A3201" s="2" t="s">
        <v>3017</v>
      </c>
      <c r="B3201" s="1">
        <v>14890</v>
      </c>
      <c r="C3201" t="s">
        <v>3013</v>
      </c>
      <c r="D3201" t="s">
        <v>3014</v>
      </c>
    </row>
    <row r="3202" spans="1:4" x14ac:dyDescent="0.25">
      <c r="A3202" s="2" t="s">
        <v>3018</v>
      </c>
      <c r="B3202" s="1">
        <v>14867</v>
      </c>
      <c r="C3202" t="s">
        <v>3013</v>
      </c>
      <c r="D3202" t="s">
        <v>3014</v>
      </c>
    </row>
    <row r="3203" spans="1:4" x14ac:dyDescent="0.25">
      <c r="A3203" s="2" t="s">
        <v>3019</v>
      </c>
      <c r="B3203" s="1">
        <v>14712</v>
      </c>
      <c r="C3203" t="s">
        <v>3013</v>
      </c>
      <c r="D3203" t="s">
        <v>3014</v>
      </c>
    </row>
    <row r="3204" spans="1:4" x14ac:dyDescent="0.25">
      <c r="A3204" s="2" t="s">
        <v>3020</v>
      </c>
      <c r="B3204" s="1">
        <v>14784</v>
      </c>
      <c r="C3204" t="s">
        <v>3013</v>
      </c>
      <c r="D3204" t="s">
        <v>3014</v>
      </c>
    </row>
    <row r="3205" spans="1:4" x14ac:dyDescent="0.25">
      <c r="A3205" s="2" t="s">
        <v>3021</v>
      </c>
      <c r="B3205" s="1">
        <v>14750</v>
      </c>
      <c r="C3205" t="s">
        <v>3013</v>
      </c>
      <c r="D3205" t="s">
        <v>3014</v>
      </c>
    </row>
    <row r="3206" spans="1:4" x14ac:dyDescent="0.25">
      <c r="A3206" s="2" t="s">
        <v>3022</v>
      </c>
      <c r="B3206" s="1">
        <v>14737</v>
      </c>
      <c r="C3206" t="s">
        <v>3013</v>
      </c>
      <c r="D3206" t="s">
        <v>3014</v>
      </c>
    </row>
    <row r="3207" spans="1:4" x14ac:dyDescent="0.25">
      <c r="A3207" s="2" t="s">
        <v>3023</v>
      </c>
      <c r="B3207" s="1">
        <v>14737</v>
      </c>
      <c r="C3207" t="s">
        <v>3013</v>
      </c>
      <c r="D3207" t="s">
        <v>3014</v>
      </c>
    </row>
    <row r="3208" spans="1:4" x14ac:dyDescent="0.25">
      <c r="A3208" s="2" t="s">
        <v>3024</v>
      </c>
      <c r="B3208" s="1">
        <v>14737</v>
      </c>
      <c r="C3208" t="s">
        <v>3013</v>
      </c>
      <c r="D3208" t="s">
        <v>3014</v>
      </c>
    </row>
    <row r="3209" spans="1:4" x14ac:dyDescent="0.25">
      <c r="A3209" s="2" t="s">
        <v>3025</v>
      </c>
      <c r="B3209" s="1">
        <v>14746</v>
      </c>
      <c r="C3209" t="s">
        <v>3013</v>
      </c>
      <c r="D3209" t="s">
        <v>3014</v>
      </c>
    </row>
    <row r="3210" spans="1:4" x14ac:dyDescent="0.25">
      <c r="A3210" s="2" t="s">
        <v>3026</v>
      </c>
      <c r="B3210" s="1">
        <v>14793</v>
      </c>
      <c r="C3210" t="s">
        <v>3013</v>
      </c>
      <c r="D3210" t="s">
        <v>3014</v>
      </c>
    </row>
    <row r="3211" spans="1:4" x14ac:dyDescent="0.25">
      <c r="A3211" s="2" t="s">
        <v>3027</v>
      </c>
      <c r="B3211" s="1">
        <v>14780</v>
      </c>
      <c r="C3211" t="s">
        <v>3013</v>
      </c>
      <c r="D3211" t="s">
        <v>3014</v>
      </c>
    </row>
    <row r="3212" spans="1:4" x14ac:dyDescent="0.25">
      <c r="A3212" s="2" t="s">
        <v>3028</v>
      </c>
      <c r="B3212" s="1">
        <v>14760</v>
      </c>
      <c r="C3212" t="s">
        <v>3013</v>
      </c>
      <c r="D3212" t="s">
        <v>3014</v>
      </c>
    </row>
    <row r="3213" spans="1:4" x14ac:dyDescent="0.25">
      <c r="A3213" s="2" t="s">
        <v>3029</v>
      </c>
      <c r="B3213" s="1">
        <v>14766</v>
      </c>
      <c r="C3213" t="s">
        <v>3013</v>
      </c>
      <c r="D3213" t="s">
        <v>3014</v>
      </c>
    </row>
    <row r="3214" spans="1:4" x14ac:dyDescent="0.25">
      <c r="A3214" s="2" t="s">
        <v>3030</v>
      </c>
      <c r="B3214" s="1">
        <v>14766</v>
      </c>
      <c r="C3214" t="s">
        <v>3013</v>
      </c>
      <c r="D3214" t="s">
        <v>3014</v>
      </c>
    </row>
    <row r="3215" spans="1:4" x14ac:dyDescent="0.25">
      <c r="A3215" s="2" t="s">
        <v>3031</v>
      </c>
      <c r="B3215" s="1">
        <v>14766</v>
      </c>
      <c r="C3215" t="s">
        <v>3013</v>
      </c>
      <c r="D3215" t="s">
        <v>3014</v>
      </c>
    </row>
    <row r="3216" spans="1:4" x14ac:dyDescent="0.25">
      <c r="A3216" s="2" t="s">
        <v>3032</v>
      </c>
      <c r="B3216" s="1">
        <v>14741</v>
      </c>
      <c r="C3216" t="s">
        <v>3013</v>
      </c>
      <c r="D3216" t="s">
        <v>3014</v>
      </c>
    </row>
    <row r="3217" spans="1:4" x14ac:dyDescent="0.25">
      <c r="A3217" s="2" t="s">
        <v>3033</v>
      </c>
      <c r="B3217" s="1">
        <v>14729</v>
      </c>
      <c r="C3217" t="s">
        <v>3013</v>
      </c>
      <c r="D3217" t="s">
        <v>3014</v>
      </c>
    </row>
    <row r="3218" spans="1:4" x14ac:dyDescent="0.25">
      <c r="A3218" s="2" t="s">
        <v>3034</v>
      </c>
      <c r="B3218" s="1">
        <v>14658</v>
      </c>
      <c r="C3218" t="s">
        <v>3013</v>
      </c>
      <c r="D3218" t="s">
        <v>3014</v>
      </c>
    </row>
    <row r="3219" spans="1:4" x14ac:dyDescent="0.25">
      <c r="A3219" s="2" t="s">
        <v>3035</v>
      </c>
      <c r="B3219" s="1">
        <v>14697</v>
      </c>
      <c r="C3219" t="s">
        <v>3013</v>
      </c>
      <c r="D3219" t="s">
        <v>3014</v>
      </c>
    </row>
    <row r="3220" spans="1:4" x14ac:dyDescent="0.25">
      <c r="A3220" s="2" t="s">
        <v>3036</v>
      </c>
      <c r="B3220" s="1">
        <v>14738</v>
      </c>
      <c r="C3220" t="s">
        <v>3013</v>
      </c>
      <c r="D3220" t="s">
        <v>3014</v>
      </c>
    </row>
    <row r="3221" spans="1:4" x14ac:dyDescent="0.25">
      <c r="A3221" s="2" t="s">
        <v>3037</v>
      </c>
      <c r="B3221" s="1">
        <v>14738</v>
      </c>
      <c r="C3221" t="s">
        <v>3013</v>
      </c>
      <c r="D3221" t="s">
        <v>3014</v>
      </c>
    </row>
    <row r="3222" spans="1:4" x14ac:dyDescent="0.25">
      <c r="A3222" s="2" t="s">
        <v>3038</v>
      </c>
      <c r="B3222" s="1">
        <v>14738</v>
      </c>
      <c r="C3222" t="s">
        <v>3013</v>
      </c>
      <c r="D3222" t="s">
        <v>3014</v>
      </c>
    </row>
    <row r="3223" spans="1:4" x14ac:dyDescent="0.25">
      <c r="A3223" s="2" t="s">
        <v>3039</v>
      </c>
      <c r="B3223" s="1">
        <v>14697</v>
      </c>
      <c r="C3223" t="s">
        <v>3013</v>
      </c>
      <c r="D3223" t="s">
        <v>3014</v>
      </c>
    </row>
    <row r="3224" spans="1:4" x14ac:dyDescent="0.25">
      <c r="A3224" s="2" t="s">
        <v>3040</v>
      </c>
      <c r="B3224" s="1">
        <v>14690</v>
      </c>
      <c r="C3224" t="s">
        <v>3013</v>
      </c>
      <c r="D3224" t="s">
        <v>3014</v>
      </c>
    </row>
    <row r="3225" spans="1:4" x14ac:dyDescent="0.25">
      <c r="A3225" s="2" t="s">
        <v>3041</v>
      </c>
      <c r="B3225" s="1">
        <v>14690</v>
      </c>
      <c r="C3225" t="s">
        <v>3013</v>
      </c>
      <c r="D3225" t="s">
        <v>3014</v>
      </c>
    </row>
    <row r="3226" spans="1:4" x14ac:dyDescent="0.25">
      <c r="A3226" s="2" t="s">
        <v>3042</v>
      </c>
      <c r="B3226" s="1">
        <v>14690</v>
      </c>
      <c r="C3226" t="s">
        <v>3013</v>
      </c>
      <c r="D3226" t="s">
        <v>3014</v>
      </c>
    </row>
    <row r="3227" spans="1:4" x14ac:dyDescent="0.25">
      <c r="A3227" s="2" t="s">
        <v>3043</v>
      </c>
      <c r="B3227" s="1">
        <v>14690</v>
      </c>
      <c r="C3227" t="s">
        <v>3013</v>
      </c>
      <c r="D3227" t="s">
        <v>3014</v>
      </c>
    </row>
    <row r="3228" spans="1:4" x14ac:dyDescent="0.25">
      <c r="A3228" s="2" t="s">
        <v>3044</v>
      </c>
      <c r="B3228" s="1">
        <v>14690</v>
      </c>
      <c r="C3228" t="s">
        <v>3013</v>
      </c>
      <c r="D3228" t="s">
        <v>3014</v>
      </c>
    </row>
    <row r="3229" spans="1:4" x14ac:dyDescent="0.25">
      <c r="A3229" s="2" t="s">
        <v>3045</v>
      </c>
      <c r="B3229" s="1">
        <v>14690</v>
      </c>
      <c r="C3229" t="s">
        <v>3046</v>
      </c>
      <c r="D3229" t="s">
        <v>3014</v>
      </c>
    </row>
    <row r="3230" spans="1:4" x14ac:dyDescent="0.25">
      <c r="A3230" s="2" t="s">
        <v>3047</v>
      </c>
      <c r="B3230" s="1">
        <v>14718</v>
      </c>
      <c r="C3230" t="s">
        <v>3046</v>
      </c>
      <c r="D3230" t="s">
        <v>3014</v>
      </c>
    </row>
    <row r="3231" spans="1:4" x14ac:dyDescent="0.25">
      <c r="A3231" s="2" t="s">
        <v>3048</v>
      </c>
      <c r="B3231" s="1">
        <v>14609</v>
      </c>
      <c r="C3231" t="s">
        <v>3046</v>
      </c>
      <c r="D3231" t="s">
        <v>3014</v>
      </c>
    </row>
    <row r="3232" spans="1:4" x14ac:dyDescent="0.25">
      <c r="A3232" s="2" t="s">
        <v>3049</v>
      </c>
      <c r="B3232" s="1">
        <v>14557</v>
      </c>
      <c r="C3232" t="s">
        <v>3046</v>
      </c>
      <c r="D3232" t="s">
        <v>3014</v>
      </c>
    </row>
    <row r="3233" spans="1:4" x14ac:dyDescent="0.25">
      <c r="A3233" s="2" t="s">
        <v>3050</v>
      </c>
      <c r="B3233" s="1">
        <v>14439</v>
      </c>
      <c r="C3233" t="s">
        <v>3046</v>
      </c>
      <c r="D3233" t="s">
        <v>3014</v>
      </c>
    </row>
    <row r="3234" spans="1:4" x14ac:dyDescent="0.25">
      <c r="A3234" s="2" t="s">
        <v>3051</v>
      </c>
      <c r="B3234" s="1">
        <v>14321</v>
      </c>
      <c r="C3234" t="s">
        <v>3046</v>
      </c>
      <c r="D3234" t="s">
        <v>3014</v>
      </c>
    </row>
    <row r="3235" spans="1:4" x14ac:dyDescent="0.25">
      <c r="A3235" s="2" t="s">
        <v>3052</v>
      </c>
      <c r="B3235" s="1">
        <v>14321</v>
      </c>
      <c r="C3235" t="s">
        <v>3046</v>
      </c>
      <c r="D3235" t="s">
        <v>3014</v>
      </c>
    </row>
    <row r="3236" spans="1:4" x14ac:dyDescent="0.25">
      <c r="A3236" s="2" t="s">
        <v>3053</v>
      </c>
      <c r="B3236" s="1">
        <v>14321</v>
      </c>
      <c r="C3236" t="s">
        <v>3046</v>
      </c>
      <c r="D3236" t="s">
        <v>3014</v>
      </c>
    </row>
    <row r="3237" spans="1:4" x14ac:dyDescent="0.25">
      <c r="A3237" s="2" t="s">
        <v>3054</v>
      </c>
      <c r="B3237" s="1">
        <v>14172</v>
      </c>
      <c r="C3237" t="s">
        <v>3046</v>
      </c>
      <c r="D3237" t="s">
        <v>3014</v>
      </c>
    </row>
    <row r="3238" spans="1:4" x14ac:dyDescent="0.25">
      <c r="A3238" s="2" t="s">
        <v>3055</v>
      </c>
      <c r="B3238" s="1">
        <v>14015</v>
      </c>
      <c r="C3238" t="s">
        <v>3046</v>
      </c>
      <c r="D3238" t="s">
        <v>3014</v>
      </c>
    </row>
    <row r="3239" spans="1:4" x14ac:dyDescent="0.25">
      <c r="A3239" s="2" t="s">
        <v>3056</v>
      </c>
      <c r="B3239" s="1">
        <v>14076</v>
      </c>
      <c r="C3239" t="s">
        <v>3046</v>
      </c>
      <c r="D3239" t="s">
        <v>3014</v>
      </c>
    </row>
    <row r="3240" spans="1:4" x14ac:dyDescent="0.25">
      <c r="A3240" s="2" t="s">
        <v>3057</v>
      </c>
      <c r="B3240" s="1">
        <v>14187</v>
      </c>
      <c r="C3240" t="s">
        <v>3046</v>
      </c>
      <c r="D3240" t="s">
        <v>3014</v>
      </c>
    </row>
    <row r="3241" spans="1:4" x14ac:dyDescent="0.25">
      <c r="A3241" s="2" t="s">
        <v>3058</v>
      </c>
      <c r="B3241" s="1">
        <v>14222</v>
      </c>
      <c r="C3241" t="s">
        <v>3046</v>
      </c>
      <c r="D3241" t="s">
        <v>3014</v>
      </c>
    </row>
    <row r="3242" spans="1:4" x14ac:dyDescent="0.25">
      <c r="A3242" s="2" t="s">
        <v>3059</v>
      </c>
      <c r="B3242" s="1">
        <v>14222</v>
      </c>
      <c r="C3242" t="s">
        <v>3046</v>
      </c>
      <c r="D3242" t="s">
        <v>3014</v>
      </c>
    </row>
    <row r="3243" spans="1:4" x14ac:dyDescent="0.25">
      <c r="A3243" s="2" t="s">
        <v>3060</v>
      </c>
      <c r="B3243" s="1">
        <v>14222</v>
      </c>
      <c r="C3243" t="s">
        <v>3046</v>
      </c>
      <c r="D3243" t="s">
        <v>3014</v>
      </c>
    </row>
    <row r="3244" spans="1:4" x14ac:dyDescent="0.25">
      <c r="A3244" s="2" t="s">
        <v>3061</v>
      </c>
      <c r="B3244" s="1">
        <v>14139</v>
      </c>
      <c r="C3244" t="s">
        <v>3046</v>
      </c>
      <c r="D3244" t="s">
        <v>3014</v>
      </c>
    </row>
    <row r="3245" spans="1:4" x14ac:dyDescent="0.25">
      <c r="A3245" s="2" t="s">
        <v>3062</v>
      </c>
      <c r="B3245" s="1">
        <v>14073</v>
      </c>
      <c r="C3245" t="s">
        <v>3046</v>
      </c>
      <c r="D3245" t="s">
        <v>3014</v>
      </c>
    </row>
    <row r="3246" spans="1:4" x14ac:dyDescent="0.25">
      <c r="A3246" s="2" t="s">
        <v>3063</v>
      </c>
      <c r="B3246" s="1">
        <v>14118</v>
      </c>
      <c r="C3246" t="s">
        <v>3046</v>
      </c>
      <c r="D3246" t="s">
        <v>3014</v>
      </c>
    </row>
    <row r="3247" spans="1:4" x14ac:dyDescent="0.25">
      <c r="A3247" s="2" t="s">
        <v>3064</v>
      </c>
      <c r="B3247" s="1">
        <v>14167</v>
      </c>
      <c r="C3247" t="s">
        <v>3046</v>
      </c>
      <c r="D3247" t="s">
        <v>3014</v>
      </c>
    </row>
    <row r="3248" spans="1:4" x14ac:dyDescent="0.25">
      <c r="A3248" s="2" t="s">
        <v>3065</v>
      </c>
      <c r="B3248" s="1">
        <v>14228</v>
      </c>
      <c r="C3248" t="s">
        <v>3046</v>
      </c>
      <c r="D3248" t="s">
        <v>3014</v>
      </c>
    </row>
    <row r="3249" spans="1:4" x14ac:dyDescent="0.25">
      <c r="A3249" s="2" t="s">
        <v>3066</v>
      </c>
      <c r="B3249" s="1">
        <v>14228</v>
      </c>
      <c r="C3249" t="s">
        <v>3046</v>
      </c>
      <c r="D3249" t="s">
        <v>3014</v>
      </c>
    </row>
    <row r="3250" spans="1:4" x14ac:dyDescent="0.25">
      <c r="A3250" s="2" t="s">
        <v>3067</v>
      </c>
      <c r="B3250" s="1">
        <v>14228</v>
      </c>
      <c r="C3250" t="s">
        <v>3046</v>
      </c>
      <c r="D3250" t="s">
        <v>3014</v>
      </c>
    </row>
    <row r="3251" spans="1:4" x14ac:dyDescent="0.25">
      <c r="A3251" s="2" t="s">
        <v>3068</v>
      </c>
      <c r="B3251" s="1">
        <v>14164</v>
      </c>
      <c r="C3251" t="s">
        <v>3046</v>
      </c>
      <c r="D3251" t="s">
        <v>3014</v>
      </c>
    </row>
    <row r="3252" spans="1:4" x14ac:dyDescent="0.25">
      <c r="A3252" s="2" t="s">
        <v>3069</v>
      </c>
      <c r="B3252" s="1">
        <v>14196</v>
      </c>
      <c r="C3252" t="s">
        <v>3046</v>
      </c>
      <c r="D3252" t="s">
        <v>3014</v>
      </c>
    </row>
    <row r="3253" spans="1:4" x14ac:dyDescent="0.25">
      <c r="A3253" s="2" t="s">
        <v>3070</v>
      </c>
      <c r="B3253" s="1">
        <v>14169</v>
      </c>
      <c r="C3253" t="s">
        <v>3046</v>
      </c>
      <c r="D3253" t="s">
        <v>3014</v>
      </c>
    </row>
    <row r="3254" spans="1:4" x14ac:dyDescent="0.25">
      <c r="A3254" s="2" t="s">
        <v>3071</v>
      </c>
      <c r="B3254" s="1">
        <v>14130</v>
      </c>
      <c r="C3254" t="s">
        <v>3046</v>
      </c>
      <c r="D3254" t="s">
        <v>3014</v>
      </c>
    </row>
    <row r="3255" spans="1:4" x14ac:dyDescent="0.25">
      <c r="A3255" s="2" t="s">
        <v>3072</v>
      </c>
      <c r="B3255" s="1">
        <v>14145</v>
      </c>
      <c r="C3255" t="s">
        <v>3046</v>
      </c>
      <c r="D3255" t="s">
        <v>3014</v>
      </c>
    </row>
    <row r="3256" spans="1:4" x14ac:dyDescent="0.25">
      <c r="A3256" s="2" t="s">
        <v>3073</v>
      </c>
      <c r="B3256" s="1">
        <v>14145</v>
      </c>
      <c r="C3256" t="s">
        <v>3046</v>
      </c>
      <c r="D3256" t="s">
        <v>3014</v>
      </c>
    </row>
    <row r="3257" spans="1:4" x14ac:dyDescent="0.25">
      <c r="A3257" s="2" t="s">
        <v>3074</v>
      </c>
      <c r="B3257" s="1">
        <v>14145</v>
      </c>
      <c r="C3257" t="s">
        <v>3046</v>
      </c>
      <c r="D3257" t="s">
        <v>3014</v>
      </c>
    </row>
    <row r="3258" spans="1:4" x14ac:dyDescent="0.25">
      <c r="A3258" s="2" t="s">
        <v>3075</v>
      </c>
      <c r="B3258" s="1">
        <v>14128</v>
      </c>
      <c r="C3258" t="s">
        <v>3046</v>
      </c>
      <c r="D3258" t="s">
        <v>3014</v>
      </c>
    </row>
    <row r="3259" spans="1:4" x14ac:dyDescent="0.25">
      <c r="A3259" s="2" t="s">
        <v>3076</v>
      </c>
      <c r="B3259" s="1">
        <v>14178</v>
      </c>
      <c r="C3259" t="s">
        <v>3077</v>
      </c>
      <c r="D3259" t="s">
        <v>3014</v>
      </c>
    </row>
    <row r="3260" spans="1:4" x14ac:dyDescent="0.25">
      <c r="A3260" s="2" t="s">
        <v>3078</v>
      </c>
      <c r="B3260" s="1">
        <v>14164</v>
      </c>
      <c r="C3260" t="s">
        <v>3077</v>
      </c>
      <c r="D3260" t="s">
        <v>3014</v>
      </c>
    </row>
    <row r="3261" spans="1:4" x14ac:dyDescent="0.25">
      <c r="A3261" s="2" t="s">
        <v>3079</v>
      </c>
      <c r="B3261" s="1">
        <v>14177</v>
      </c>
      <c r="C3261" t="s">
        <v>3077</v>
      </c>
      <c r="D3261" t="s">
        <v>3014</v>
      </c>
    </row>
    <row r="3262" spans="1:4" x14ac:dyDescent="0.25">
      <c r="A3262" s="2" t="s">
        <v>3080</v>
      </c>
      <c r="B3262" s="1">
        <v>14182</v>
      </c>
      <c r="C3262" t="s">
        <v>3077</v>
      </c>
      <c r="D3262" t="s">
        <v>3014</v>
      </c>
    </row>
    <row r="3263" spans="1:4" x14ac:dyDescent="0.25">
      <c r="A3263" s="2" t="s">
        <v>3081</v>
      </c>
      <c r="B3263" s="1">
        <v>14182</v>
      </c>
      <c r="C3263" t="s">
        <v>3077</v>
      </c>
      <c r="D3263" t="s">
        <v>3014</v>
      </c>
    </row>
    <row r="3264" spans="1:4" x14ac:dyDescent="0.25">
      <c r="A3264" s="2" t="s">
        <v>3082</v>
      </c>
      <c r="B3264" s="1">
        <v>14182</v>
      </c>
      <c r="C3264" t="s">
        <v>3077</v>
      </c>
      <c r="D3264" t="s">
        <v>3014</v>
      </c>
    </row>
    <row r="3265" spans="1:4" x14ac:dyDescent="0.25">
      <c r="A3265" s="2" t="s">
        <v>3083</v>
      </c>
      <c r="B3265" s="1">
        <v>14135</v>
      </c>
      <c r="C3265" t="s">
        <v>3077</v>
      </c>
      <c r="D3265" t="s">
        <v>3014</v>
      </c>
    </row>
    <row r="3266" spans="1:4" x14ac:dyDescent="0.25">
      <c r="A3266" s="2" t="s">
        <v>3084</v>
      </c>
      <c r="B3266" s="1">
        <v>14164</v>
      </c>
      <c r="C3266" t="s">
        <v>3077</v>
      </c>
      <c r="D3266" t="s">
        <v>3014</v>
      </c>
    </row>
    <row r="3267" spans="1:4" x14ac:dyDescent="0.25">
      <c r="A3267" s="2" t="s">
        <v>3085</v>
      </c>
      <c r="B3267" s="1">
        <v>14164</v>
      </c>
      <c r="C3267" t="s">
        <v>3077</v>
      </c>
      <c r="D3267" t="s">
        <v>3014</v>
      </c>
    </row>
    <row r="3268" spans="1:4" x14ac:dyDescent="0.25">
      <c r="A3268" s="2" t="s">
        <v>3086</v>
      </c>
      <c r="B3268" s="1">
        <v>14130</v>
      </c>
      <c r="C3268" t="s">
        <v>3077</v>
      </c>
      <c r="D3268" t="s">
        <v>3014</v>
      </c>
    </row>
    <row r="3269" spans="1:4" x14ac:dyDescent="0.25">
      <c r="A3269" s="2" t="s">
        <v>3087</v>
      </c>
      <c r="B3269" s="1">
        <v>14102</v>
      </c>
      <c r="C3269" t="s">
        <v>3077</v>
      </c>
      <c r="D3269" t="s">
        <v>3014</v>
      </c>
    </row>
    <row r="3270" spans="1:4" x14ac:dyDescent="0.25">
      <c r="A3270" s="2" t="s">
        <v>3088</v>
      </c>
      <c r="B3270" s="1">
        <v>14102</v>
      </c>
      <c r="C3270" t="s">
        <v>3077</v>
      </c>
      <c r="D3270" t="s">
        <v>3014</v>
      </c>
    </row>
    <row r="3271" spans="1:4" x14ac:dyDescent="0.25">
      <c r="A3271" s="2" t="s">
        <v>3089</v>
      </c>
      <c r="B3271" s="1">
        <v>14102</v>
      </c>
      <c r="C3271" t="s">
        <v>3077</v>
      </c>
      <c r="D3271" t="s">
        <v>3014</v>
      </c>
    </row>
    <row r="3272" spans="1:4" x14ac:dyDescent="0.25">
      <c r="A3272" s="2" t="s">
        <v>3090</v>
      </c>
      <c r="B3272" s="1">
        <v>14158</v>
      </c>
      <c r="C3272" t="s">
        <v>3077</v>
      </c>
      <c r="D3272" t="s">
        <v>3014</v>
      </c>
    </row>
    <row r="3273" spans="1:4" x14ac:dyDescent="0.25">
      <c r="A3273" s="2" t="s">
        <v>3091</v>
      </c>
      <c r="B3273" s="1">
        <v>14171</v>
      </c>
      <c r="C3273" t="s">
        <v>3077</v>
      </c>
      <c r="D3273" t="s">
        <v>3014</v>
      </c>
    </row>
    <row r="3274" spans="1:4" x14ac:dyDescent="0.25">
      <c r="A3274" s="2" t="s">
        <v>3092</v>
      </c>
      <c r="B3274" s="1">
        <v>14151</v>
      </c>
      <c r="C3274" t="s">
        <v>3077</v>
      </c>
      <c r="D3274" t="s">
        <v>3014</v>
      </c>
    </row>
    <row r="3275" spans="1:4" x14ac:dyDescent="0.25">
      <c r="A3275" s="2" t="s">
        <v>3093</v>
      </c>
      <c r="B3275" s="1">
        <v>14152</v>
      </c>
      <c r="C3275" t="s">
        <v>3077</v>
      </c>
      <c r="D3275" t="s">
        <v>3014</v>
      </c>
    </row>
    <row r="3276" spans="1:4" x14ac:dyDescent="0.25">
      <c r="A3276" s="2" t="s">
        <v>3094</v>
      </c>
      <c r="B3276" s="1">
        <v>14146</v>
      </c>
      <c r="C3276" t="s">
        <v>3077</v>
      </c>
      <c r="D3276" t="s">
        <v>3014</v>
      </c>
    </row>
    <row r="3277" spans="1:4" x14ac:dyDescent="0.25">
      <c r="A3277" s="2" t="s">
        <v>3095</v>
      </c>
      <c r="B3277" s="1">
        <v>14146</v>
      </c>
      <c r="C3277" t="s">
        <v>3077</v>
      </c>
      <c r="D3277" t="s">
        <v>3014</v>
      </c>
    </row>
    <row r="3278" spans="1:4" x14ac:dyDescent="0.25">
      <c r="A3278" s="2" t="s">
        <v>3096</v>
      </c>
      <c r="B3278" s="1">
        <v>14146</v>
      </c>
      <c r="C3278" t="s">
        <v>3077</v>
      </c>
      <c r="D3278" t="s">
        <v>3014</v>
      </c>
    </row>
    <row r="3279" spans="1:4" x14ac:dyDescent="0.25">
      <c r="A3279" s="2" t="s">
        <v>3097</v>
      </c>
      <c r="B3279" s="1">
        <v>14180</v>
      </c>
      <c r="C3279" t="s">
        <v>3077</v>
      </c>
      <c r="D3279" t="s">
        <v>3014</v>
      </c>
    </row>
    <row r="3280" spans="1:4" x14ac:dyDescent="0.25">
      <c r="A3280" s="2" t="s">
        <v>3098</v>
      </c>
      <c r="B3280" s="1">
        <v>14218</v>
      </c>
      <c r="C3280" t="s">
        <v>3077</v>
      </c>
      <c r="D3280" t="s">
        <v>3014</v>
      </c>
    </row>
    <row r="3281" spans="1:4" x14ac:dyDescent="0.25">
      <c r="A3281" s="2" t="s">
        <v>3099</v>
      </c>
      <c r="B3281" s="1">
        <v>14282</v>
      </c>
      <c r="C3281" t="s">
        <v>3077</v>
      </c>
      <c r="D3281" t="s">
        <v>3014</v>
      </c>
    </row>
    <row r="3282" spans="1:4" x14ac:dyDescent="0.25">
      <c r="A3282" s="2" t="s">
        <v>3100</v>
      </c>
      <c r="B3282" s="1">
        <v>14282</v>
      </c>
      <c r="C3282" t="s">
        <v>3077</v>
      </c>
      <c r="D3282" t="s">
        <v>3014</v>
      </c>
    </row>
    <row r="3283" spans="1:4" x14ac:dyDescent="0.25">
      <c r="A3283" s="2" t="s">
        <v>3101</v>
      </c>
      <c r="B3283" s="1">
        <v>14282</v>
      </c>
      <c r="C3283" t="s">
        <v>3077</v>
      </c>
      <c r="D3283" t="s">
        <v>3014</v>
      </c>
    </row>
    <row r="3284" spans="1:4" x14ac:dyDescent="0.25">
      <c r="A3284" s="2" t="s">
        <v>3102</v>
      </c>
      <c r="B3284" s="1">
        <v>14282</v>
      </c>
      <c r="C3284" t="s">
        <v>3077</v>
      </c>
      <c r="D3284" t="s">
        <v>3014</v>
      </c>
    </row>
    <row r="3285" spans="1:4" x14ac:dyDescent="0.25">
      <c r="A3285" s="2" t="s">
        <v>3103</v>
      </c>
      <c r="B3285" s="1">
        <v>14282</v>
      </c>
      <c r="C3285" t="s">
        <v>3077</v>
      </c>
      <c r="D3285" t="s">
        <v>3014</v>
      </c>
    </row>
    <row r="3286" spans="1:4" x14ac:dyDescent="0.25">
      <c r="A3286" s="2" t="s">
        <v>3104</v>
      </c>
      <c r="B3286" s="1">
        <v>14184</v>
      </c>
      <c r="C3286" t="s">
        <v>3077</v>
      </c>
      <c r="D3286" t="s">
        <v>3014</v>
      </c>
    </row>
    <row r="3287" spans="1:4" x14ac:dyDescent="0.25">
      <c r="A3287" s="2" t="s">
        <v>3105</v>
      </c>
      <c r="B3287" s="1">
        <v>14169</v>
      </c>
      <c r="C3287" t="s">
        <v>3077</v>
      </c>
      <c r="D3287" t="s">
        <v>3014</v>
      </c>
    </row>
    <row r="3288" spans="1:4" x14ac:dyDescent="0.25">
      <c r="A3288" s="2" t="s">
        <v>3106</v>
      </c>
      <c r="B3288" s="1">
        <v>14105</v>
      </c>
      <c r="C3288" t="s">
        <v>3077</v>
      </c>
      <c r="D3288" t="s">
        <v>3014</v>
      </c>
    </row>
    <row r="3289" spans="1:4" x14ac:dyDescent="0.25">
      <c r="A3289" s="2" t="s">
        <v>3107</v>
      </c>
      <c r="B3289" s="1">
        <v>14105</v>
      </c>
      <c r="C3289" t="s">
        <v>3077</v>
      </c>
      <c r="D3289" t="s">
        <v>3014</v>
      </c>
    </row>
    <row r="3290" spans="1:4" x14ac:dyDescent="0.25">
      <c r="A3290" s="2" t="s">
        <v>3108</v>
      </c>
      <c r="B3290" s="1">
        <v>14105</v>
      </c>
      <c r="C3290" t="s">
        <v>3109</v>
      </c>
      <c r="D3290" t="s">
        <v>3110</v>
      </c>
    </row>
    <row r="3291" spans="1:4" x14ac:dyDescent="0.25">
      <c r="A3291" s="2" t="s">
        <v>3111</v>
      </c>
      <c r="B3291" s="1">
        <v>14105</v>
      </c>
      <c r="C3291" t="s">
        <v>3109</v>
      </c>
      <c r="D3291" t="s">
        <v>3110</v>
      </c>
    </row>
    <row r="3292" spans="1:4" x14ac:dyDescent="0.25">
      <c r="A3292" s="2" t="s">
        <v>3112</v>
      </c>
      <c r="B3292" s="1">
        <v>14105</v>
      </c>
      <c r="C3292" t="s">
        <v>3109</v>
      </c>
      <c r="D3292" t="s">
        <v>3110</v>
      </c>
    </row>
    <row r="3293" spans="1:4" x14ac:dyDescent="0.25">
      <c r="A3293" s="2" t="s">
        <v>3113</v>
      </c>
      <c r="B3293" s="1">
        <v>13903</v>
      </c>
      <c r="C3293" t="s">
        <v>3109</v>
      </c>
      <c r="D3293" t="s">
        <v>3110</v>
      </c>
    </row>
    <row r="3294" spans="1:4" x14ac:dyDescent="0.25">
      <c r="A3294" s="2" t="s">
        <v>3114</v>
      </c>
      <c r="B3294" s="1">
        <v>13945</v>
      </c>
      <c r="C3294" t="s">
        <v>3109</v>
      </c>
      <c r="D3294" t="s">
        <v>3110</v>
      </c>
    </row>
    <row r="3295" spans="1:4" x14ac:dyDescent="0.25">
      <c r="A3295" s="2" t="s">
        <v>3115</v>
      </c>
      <c r="B3295" s="1">
        <v>13926</v>
      </c>
      <c r="C3295" t="s">
        <v>3109</v>
      </c>
      <c r="D3295" t="s">
        <v>3110</v>
      </c>
    </row>
    <row r="3296" spans="1:4" x14ac:dyDescent="0.25">
      <c r="A3296" s="2" t="s">
        <v>3116</v>
      </c>
      <c r="B3296" s="1">
        <v>13938</v>
      </c>
      <c r="C3296" t="s">
        <v>3109</v>
      </c>
      <c r="D3296" t="s">
        <v>3110</v>
      </c>
    </row>
    <row r="3297" spans="1:4" x14ac:dyDescent="0.25">
      <c r="A3297" s="2" t="s">
        <v>3117</v>
      </c>
      <c r="B3297" s="1">
        <v>14058</v>
      </c>
      <c r="C3297" t="s">
        <v>3109</v>
      </c>
      <c r="D3297" t="s">
        <v>3110</v>
      </c>
    </row>
    <row r="3298" spans="1:4" x14ac:dyDescent="0.25">
      <c r="A3298" s="2" t="s">
        <v>3118</v>
      </c>
      <c r="B3298" s="1">
        <v>14058</v>
      </c>
      <c r="C3298" t="s">
        <v>3109</v>
      </c>
      <c r="D3298" t="s">
        <v>3110</v>
      </c>
    </row>
    <row r="3299" spans="1:4" x14ac:dyDescent="0.25">
      <c r="A3299" s="2" t="s">
        <v>3119</v>
      </c>
      <c r="B3299" s="1">
        <v>14058</v>
      </c>
      <c r="C3299" t="s">
        <v>3109</v>
      </c>
      <c r="D3299" t="s">
        <v>3110</v>
      </c>
    </row>
    <row r="3300" spans="1:4" x14ac:dyDescent="0.25">
      <c r="A3300" s="2" t="s">
        <v>3120</v>
      </c>
      <c r="B3300" s="1">
        <v>14155</v>
      </c>
      <c r="C3300" t="s">
        <v>3109</v>
      </c>
      <c r="D3300" t="s">
        <v>3110</v>
      </c>
    </row>
    <row r="3301" spans="1:4" x14ac:dyDescent="0.25">
      <c r="A3301" s="2" t="s">
        <v>3121</v>
      </c>
      <c r="B3301" s="1">
        <v>14231</v>
      </c>
      <c r="C3301" t="s">
        <v>3109</v>
      </c>
      <c r="D3301" t="s">
        <v>3110</v>
      </c>
    </row>
    <row r="3302" spans="1:4" x14ac:dyDescent="0.25">
      <c r="A3302" s="2" t="s">
        <v>3122</v>
      </c>
      <c r="B3302" s="1">
        <v>14109</v>
      </c>
      <c r="C3302" t="s">
        <v>3109</v>
      </c>
      <c r="D3302" t="s">
        <v>3110</v>
      </c>
    </row>
    <row r="3303" spans="1:4" x14ac:dyDescent="0.25">
      <c r="A3303" s="2" t="s">
        <v>3123</v>
      </c>
      <c r="B3303" s="1">
        <v>14119</v>
      </c>
      <c r="C3303" t="s">
        <v>3109</v>
      </c>
      <c r="D3303" t="s">
        <v>3110</v>
      </c>
    </row>
    <row r="3304" spans="1:4" x14ac:dyDescent="0.25">
      <c r="A3304" s="2" t="s">
        <v>3124</v>
      </c>
      <c r="B3304" s="1">
        <v>14068</v>
      </c>
      <c r="C3304" t="s">
        <v>3109</v>
      </c>
      <c r="D3304" t="s">
        <v>3110</v>
      </c>
    </row>
    <row r="3305" spans="1:4" x14ac:dyDescent="0.25">
      <c r="A3305" s="2" t="s">
        <v>3125</v>
      </c>
      <c r="B3305" s="1">
        <v>14068</v>
      </c>
      <c r="C3305" t="s">
        <v>3109</v>
      </c>
      <c r="D3305" t="s">
        <v>3110</v>
      </c>
    </row>
    <row r="3306" spans="1:4" x14ac:dyDescent="0.25">
      <c r="A3306" s="2" t="s">
        <v>3126</v>
      </c>
      <c r="B3306" s="1">
        <v>14068</v>
      </c>
      <c r="C3306" t="s">
        <v>3109</v>
      </c>
      <c r="D3306" t="s">
        <v>3110</v>
      </c>
    </row>
    <row r="3307" spans="1:4" x14ac:dyDescent="0.25">
      <c r="A3307" s="2" t="s">
        <v>3127</v>
      </c>
      <c r="B3307" s="1">
        <v>14080</v>
      </c>
      <c r="C3307" t="s">
        <v>3109</v>
      </c>
      <c r="D3307" t="s">
        <v>3110</v>
      </c>
    </row>
    <row r="3308" spans="1:4" x14ac:dyDescent="0.25">
      <c r="A3308" s="2" t="s">
        <v>3128</v>
      </c>
      <c r="B3308" s="1">
        <v>14086</v>
      </c>
      <c r="C3308" t="s">
        <v>3109</v>
      </c>
      <c r="D3308" t="s">
        <v>3110</v>
      </c>
    </row>
    <row r="3309" spans="1:4" x14ac:dyDescent="0.25">
      <c r="A3309" s="2" t="s">
        <v>3129</v>
      </c>
      <c r="B3309" s="1">
        <v>14065</v>
      </c>
      <c r="C3309" t="s">
        <v>3109</v>
      </c>
      <c r="D3309" t="s">
        <v>3110</v>
      </c>
    </row>
    <row r="3310" spans="1:4" x14ac:dyDescent="0.25">
      <c r="A3310" s="2" t="s">
        <v>3130</v>
      </c>
      <c r="B3310" s="1">
        <v>14039</v>
      </c>
      <c r="C3310" t="s">
        <v>3109</v>
      </c>
      <c r="D3310" t="s">
        <v>3110</v>
      </c>
    </row>
    <row r="3311" spans="1:4" x14ac:dyDescent="0.25">
      <c r="A3311" s="2" t="s">
        <v>3131</v>
      </c>
      <c r="B3311" s="1">
        <v>14054</v>
      </c>
      <c r="C3311" t="s">
        <v>3109</v>
      </c>
      <c r="D3311" t="s">
        <v>3110</v>
      </c>
    </row>
    <row r="3312" spans="1:4" x14ac:dyDescent="0.25">
      <c r="A3312" s="2" t="s">
        <v>3132</v>
      </c>
      <c r="B3312" s="1">
        <v>14054</v>
      </c>
      <c r="C3312" t="s">
        <v>3109</v>
      </c>
      <c r="D3312" t="s">
        <v>3110</v>
      </c>
    </row>
    <row r="3313" spans="1:4" x14ac:dyDescent="0.25">
      <c r="A3313" s="2" t="s">
        <v>3133</v>
      </c>
      <c r="B3313" s="1">
        <v>14054</v>
      </c>
      <c r="C3313" t="s">
        <v>3109</v>
      </c>
      <c r="D3313" t="s">
        <v>3110</v>
      </c>
    </row>
    <row r="3314" spans="1:4" x14ac:dyDescent="0.25">
      <c r="A3314" s="2" t="s">
        <v>3134</v>
      </c>
      <c r="B3314" s="1">
        <v>14082</v>
      </c>
      <c r="C3314" t="s">
        <v>3109</v>
      </c>
      <c r="D3314" t="s">
        <v>3110</v>
      </c>
    </row>
    <row r="3315" spans="1:4" x14ac:dyDescent="0.25">
      <c r="A3315" s="2" t="s">
        <v>3135</v>
      </c>
      <c r="B3315" s="1">
        <v>14086</v>
      </c>
      <c r="C3315" t="s">
        <v>3109</v>
      </c>
      <c r="D3315" t="s">
        <v>3110</v>
      </c>
    </row>
    <row r="3316" spans="1:4" x14ac:dyDescent="0.25">
      <c r="A3316" s="2" t="s">
        <v>3136</v>
      </c>
      <c r="B3316" s="1">
        <v>14091</v>
      </c>
      <c r="C3316" t="s">
        <v>3109</v>
      </c>
      <c r="D3316" t="s">
        <v>3110</v>
      </c>
    </row>
    <row r="3317" spans="1:4" x14ac:dyDescent="0.25">
      <c r="A3317" s="2" t="s">
        <v>3137</v>
      </c>
      <c r="B3317" s="1">
        <v>14119</v>
      </c>
      <c r="C3317" t="s">
        <v>3109</v>
      </c>
      <c r="D3317" t="s">
        <v>3110</v>
      </c>
    </row>
    <row r="3318" spans="1:4" x14ac:dyDescent="0.25">
      <c r="A3318" s="2" t="s">
        <v>3138</v>
      </c>
      <c r="B3318" s="1">
        <v>14084</v>
      </c>
      <c r="C3318" t="s">
        <v>3109</v>
      </c>
      <c r="D3318" t="s">
        <v>3110</v>
      </c>
    </row>
    <row r="3319" spans="1:4" x14ac:dyDescent="0.25">
      <c r="A3319" s="2" t="s">
        <v>3139</v>
      </c>
      <c r="B3319" s="1">
        <v>14084</v>
      </c>
      <c r="C3319" t="s">
        <v>3109</v>
      </c>
      <c r="D3319" t="s">
        <v>3110</v>
      </c>
    </row>
    <row r="3320" spans="1:4" x14ac:dyDescent="0.25">
      <c r="A3320" s="2" t="s">
        <v>3140</v>
      </c>
      <c r="B3320" s="1">
        <v>14084</v>
      </c>
      <c r="C3320" t="s">
        <v>3109</v>
      </c>
      <c r="D3320" t="s">
        <v>3110</v>
      </c>
    </row>
    <row r="3321" spans="1:4" x14ac:dyDescent="0.25">
      <c r="A3321" s="2" t="s">
        <v>3141</v>
      </c>
      <c r="B3321" s="1">
        <v>14042</v>
      </c>
      <c r="C3321" t="s">
        <v>3142</v>
      </c>
      <c r="D3321" t="s">
        <v>3110</v>
      </c>
    </row>
    <row r="3322" spans="1:4" x14ac:dyDescent="0.25">
      <c r="A3322" s="2" t="s">
        <v>3143</v>
      </c>
      <c r="B3322" s="1">
        <v>14044</v>
      </c>
      <c r="C3322" t="s">
        <v>3142</v>
      </c>
      <c r="D3322" t="s">
        <v>3110</v>
      </c>
    </row>
    <row r="3323" spans="1:4" x14ac:dyDescent="0.25">
      <c r="A3323" s="2" t="s">
        <v>3144</v>
      </c>
      <c r="B3323" s="1">
        <v>14017</v>
      </c>
      <c r="C3323" t="s">
        <v>3142</v>
      </c>
      <c r="D3323" t="s">
        <v>3110</v>
      </c>
    </row>
    <row r="3324" spans="1:4" x14ac:dyDescent="0.25">
      <c r="A3324" s="2" t="s">
        <v>3145</v>
      </c>
      <c r="B3324" s="1">
        <v>14036</v>
      </c>
      <c r="C3324" t="s">
        <v>3142</v>
      </c>
      <c r="D3324" t="s">
        <v>3110</v>
      </c>
    </row>
    <row r="3325" spans="1:4" x14ac:dyDescent="0.25">
      <c r="A3325" s="2" t="s">
        <v>3146</v>
      </c>
      <c r="B3325" s="1">
        <v>14062</v>
      </c>
      <c r="C3325" t="s">
        <v>3142</v>
      </c>
      <c r="D3325" t="s">
        <v>3110</v>
      </c>
    </row>
    <row r="3326" spans="1:4" x14ac:dyDescent="0.25">
      <c r="A3326" s="2" t="s">
        <v>3147</v>
      </c>
      <c r="B3326" s="1">
        <v>14062</v>
      </c>
      <c r="C3326" t="s">
        <v>3142</v>
      </c>
      <c r="D3326" t="s">
        <v>3110</v>
      </c>
    </row>
    <row r="3327" spans="1:4" x14ac:dyDescent="0.25">
      <c r="A3327" s="2" t="s">
        <v>3148</v>
      </c>
      <c r="B3327" s="1">
        <v>14062</v>
      </c>
      <c r="C3327" t="s">
        <v>3142</v>
      </c>
      <c r="D3327" t="s">
        <v>3110</v>
      </c>
    </row>
    <row r="3328" spans="1:4" x14ac:dyDescent="0.25">
      <c r="A3328" s="2" t="s">
        <v>3149</v>
      </c>
      <c r="B3328" s="1">
        <v>14000</v>
      </c>
      <c r="C3328" t="s">
        <v>3142</v>
      </c>
      <c r="D3328" t="s">
        <v>3110</v>
      </c>
    </row>
    <row r="3329" spans="1:4" x14ac:dyDescent="0.25">
      <c r="A3329" s="2" t="s">
        <v>3150</v>
      </c>
      <c r="B3329" s="1">
        <v>14000</v>
      </c>
      <c r="C3329" t="s">
        <v>3142</v>
      </c>
      <c r="D3329" t="s">
        <v>3110</v>
      </c>
    </row>
    <row r="3330" spans="1:4" x14ac:dyDescent="0.25">
      <c r="A3330" s="2" t="s">
        <v>3151</v>
      </c>
      <c r="B3330" s="1">
        <v>13989</v>
      </c>
      <c r="C3330" t="s">
        <v>3142</v>
      </c>
      <c r="D3330" t="s">
        <v>3110</v>
      </c>
    </row>
    <row r="3331" spans="1:4" x14ac:dyDescent="0.25">
      <c r="A3331" s="2" t="s">
        <v>3152</v>
      </c>
      <c r="B3331" s="1">
        <v>14011</v>
      </c>
      <c r="C3331" t="s">
        <v>3142</v>
      </c>
      <c r="D3331" t="s">
        <v>3110</v>
      </c>
    </row>
    <row r="3332" spans="1:4" x14ac:dyDescent="0.25">
      <c r="A3332" s="2" t="s">
        <v>3153</v>
      </c>
      <c r="B3332" s="1">
        <v>14011</v>
      </c>
      <c r="C3332" t="s">
        <v>3142</v>
      </c>
      <c r="D3332" t="s">
        <v>3110</v>
      </c>
    </row>
    <row r="3333" spans="1:4" x14ac:dyDescent="0.25">
      <c r="A3333" s="2" t="s">
        <v>3154</v>
      </c>
      <c r="B3333" s="1">
        <v>14011</v>
      </c>
      <c r="C3333" t="s">
        <v>3142</v>
      </c>
      <c r="D3333" t="s">
        <v>3110</v>
      </c>
    </row>
    <row r="3334" spans="1:4" x14ac:dyDescent="0.25">
      <c r="A3334" s="2" t="s">
        <v>3155</v>
      </c>
      <c r="B3334" s="1">
        <v>14011</v>
      </c>
      <c r="C3334" t="s">
        <v>3142</v>
      </c>
      <c r="D3334" t="s">
        <v>3110</v>
      </c>
    </row>
    <row r="3335" spans="1:4" x14ac:dyDescent="0.25">
      <c r="A3335" s="2" t="s">
        <v>3156</v>
      </c>
      <c r="B3335" s="1">
        <v>13946</v>
      </c>
      <c r="C3335" t="s">
        <v>3142</v>
      </c>
      <c r="D3335" t="s">
        <v>3110</v>
      </c>
    </row>
    <row r="3336" spans="1:4" x14ac:dyDescent="0.25">
      <c r="A3336" s="2" t="s">
        <v>3157</v>
      </c>
      <c r="B3336" s="1">
        <v>13875</v>
      </c>
      <c r="C3336" t="s">
        <v>3142</v>
      </c>
      <c r="D3336" t="s">
        <v>3110</v>
      </c>
    </row>
    <row r="3337" spans="1:4" x14ac:dyDescent="0.25">
      <c r="A3337" s="2" t="s">
        <v>3158</v>
      </c>
      <c r="B3337" s="1">
        <v>14019</v>
      </c>
      <c r="C3337" t="s">
        <v>3142</v>
      </c>
      <c r="D3337" t="s">
        <v>3110</v>
      </c>
    </row>
    <row r="3338" spans="1:4" x14ac:dyDescent="0.25">
      <c r="A3338" s="2" t="s">
        <v>3159</v>
      </c>
      <c r="B3338" s="1">
        <v>14059</v>
      </c>
      <c r="C3338" t="s">
        <v>3142</v>
      </c>
      <c r="D3338" t="s">
        <v>3110</v>
      </c>
    </row>
    <row r="3339" spans="1:4" x14ac:dyDescent="0.25">
      <c r="A3339" s="2" t="s">
        <v>3160</v>
      </c>
      <c r="B3339" s="1">
        <v>14085</v>
      </c>
      <c r="C3339" t="s">
        <v>3142</v>
      </c>
      <c r="D3339" t="s">
        <v>3110</v>
      </c>
    </row>
    <row r="3340" spans="1:4" x14ac:dyDescent="0.25">
      <c r="A3340" s="2" t="s">
        <v>3161</v>
      </c>
      <c r="B3340" s="1">
        <v>14085</v>
      </c>
      <c r="C3340" t="s">
        <v>3142</v>
      </c>
      <c r="D3340" t="s">
        <v>3110</v>
      </c>
    </row>
    <row r="3341" spans="1:4" x14ac:dyDescent="0.25">
      <c r="A3341" s="2" t="s">
        <v>3162</v>
      </c>
      <c r="B3341" s="1">
        <v>14085</v>
      </c>
      <c r="C3341" t="s">
        <v>3142</v>
      </c>
      <c r="D3341" t="s">
        <v>3110</v>
      </c>
    </row>
    <row r="3342" spans="1:4" x14ac:dyDescent="0.25">
      <c r="A3342" s="2" t="s">
        <v>3163</v>
      </c>
      <c r="B3342" s="1">
        <v>14098</v>
      </c>
      <c r="C3342" t="s">
        <v>3142</v>
      </c>
      <c r="D3342" t="s">
        <v>3110</v>
      </c>
    </row>
    <row r="3343" spans="1:4" x14ac:dyDescent="0.25">
      <c r="A3343" s="2" t="s">
        <v>3164</v>
      </c>
      <c r="B3343" s="1">
        <v>14126</v>
      </c>
      <c r="C3343" t="s">
        <v>3142</v>
      </c>
      <c r="D3343" t="s">
        <v>3110</v>
      </c>
    </row>
    <row r="3344" spans="1:4" x14ac:dyDescent="0.25">
      <c r="A3344" s="2" t="s">
        <v>3165</v>
      </c>
      <c r="B3344" s="1">
        <v>14089</v>
      </c>
      <c r="C3344" t="s">
        <v>3142</v>
      </c>
      <c r="D3344" t="s">
        <v>3110</v>
      </c>
    </row>
    <row r="3345" spans="1:4" x14ac:dyDescent="0.25">
      <c r="A3345" s="2" t="s">
        <v>3166</v>
      </c>
      <c r="B3345" s="1">
        <v>14104</v>
      </c>
      <c r="C3345" t="s">
        <v>3142</v>
      </c>
      <c r="D3345" t="s">
        <v>3110</v>
      </c>
    </row>
    <row r="3346" spans="1:4" x14ac:dyDescent="0.25">
      <c r="A3346" s="2" t="s">
        <v>3167</v>
      </c>
      <c r="B3346" s="1">
        <v>14229</v>
      </c>
      <c r="C3346" t="s">
        <v>3142</v>
      </c>
      <c r="D3346" t="s">
        <v>3110</v>
      </c>
    </row>
    <row r="3347" spans="1:4" x14ac:dyDescent="0.25">
      <c r="A3347" s="2" t="s">
        <v>3168</v>
      </c>
      <c r="B3347" s="1">
        <v>14229</v>
      </c>
      <c r="C3347" t="s">
        <v>3142</v>
      </c>
      <c r="D3347" t="s">
        <v>3110</v>
      </c>
    </row>
    <row r="3348" spans="1:4" x14ac:dyDescent="0.25">
      <c r="A3348" s="2" t="s">
        <v>3169</v>
      </c>
      <c r="B3348" s="1">
        <v>14229</v>
      </c>
      <c r="C3348" t="s">
        <v>3142</v>
      </c>
      <c r="D3348" t="s">
        <v>3110</v>
      </c>
    </row>
    <row r="3349" spans="1:4" x14ac:dyDescent="0.25">
      <c r="A3349" s="2" t="s">
        <v>3170</v>
      </c>
      <c r="B3349" s="1">
        <v>14300</v>
      </c>
      <c r="C3349" t="s">
        <v>3171</v>
      </c>
      <c r="D3349" t="s">
        <v>3110</v>
      </c>
    </row>
    <row r="3350" spans="1:4" x14ac:dyDescent="0.25">
      <c r="A3350" s="2" t="s">
        <v>3172</v>
      </c>
      <c r="B3350" s="1">
        <v>14307</v>
      </c>
      <c r="C3350" t="s">
        <v>3171</v>
      </c>
      <c r="D3350" t="s">
        <v>3110</v>
      </c>
    </row>
    <row r="3351" spans="1:4" x14ac:dyDescent="0.25">
      <c r="A3351" s="2" t="s">
        <v>3173</v>
      </c>
      <c r="B3351" s="1">
        <v>14334</v>
      </c>
      <c r="C3351" t="s">
        <v>3171</v>
      </c>
      <c r="D3351" t="s">
        <v>3110</v>
      </c>
    </row>
    <row r="3352" spans="1:4" x14ac:dyDescent="0.25">
      <c r="A3352" s="2" t="s">
        <v>3174</v>
      </c>
      <c r="B3352" s="1">
        <v>14299</v>
      </c>
      <c r="C3352" t="s">
        <v>3171</v>
      </c>
      <c r="D3352" t="s">
        <v>3110</v>
      </c>
    </row>
    <row r="3353" spans="1:4" x14ac:dyDescent="0.25">
      <c r="A3353" s="2" t="s">
        <v>3175</v>
      </c>
      <c r="B3353" s="1">
        <v>14371</v>
      </c>
      <c r="C3353" t="s">
        <v>3171</v>
      </c>
      <c r="D3353" t="s">
        <v>3110</v>
      </c>
    </row>
    <row r="3354" spans="1:4" x14ac:dyDescent="0.25">
      <c r="A3354" s="2" t="s">
        <v>3176</v>
      </c>
      <c r="B3354" s="1">
        <v>14371</v>
      </c>
      <c r="C3354" t="s">
        <v>3171</v>
      </c>
      <c r="D3354" t="s">
        <v>3110</v>
      </c>
    </row>
    <row r="3355" spans="1:4" x14ac:dyDescent="0.25">
      <c r="A3355" s="2" t="s">
        <v>3177</v>
      </c>
      <c r="B3355" s="1">
        <v>14371</v>
      </c>
      <c r="C3355" t="s">
        <v>3171</v>
      </c>
      <c r="D3355" t="s">
        <v>3110</v>
      </c>
    </row>
    <row r="3356" spans="1:4" x14ac:dyDescent="0.25">
      <c r="A3356" s="2" t="s">
        <v>3178</v>
      </c>
      <c r="B3356" s="1">
        <v>14390</v>
      </c>
      <c r="C3356" t="s">
        <v>3171</v>
      </c>
      <c r="D3356" t="s">
        <v>3110</v>
      </c>
    </row>
    <row r="3357" spans="1:4" x14ac:dyDescent="0.25">
      <c r="A3357" s="2" t="s">
        <v>3179</v>
      </c>
      <c r="B3357" s="1">
        <v>14468</v>
      </c>
      <c r="C3357" t="s">
        <v>3171</v>
      </c>
      <c r="D3357" t="s">
        <v>3110</v>
      </c>
    </row>
    <row r="3358" spans="1:4" x14ac:dyDescent="0.25">
      <c r="A3358" s="2" t="s">
        <v>3180</v>
      </c>
      <c r="B3358" s="1">
        <v>14421</v>
      </c>
      <c r="C3358" t="s">
        <v>3171</v>
      </c>
      <c r="D3358" t="s">
        <v>3110</v>
      </c>
    </row>
    <row r="3359" spans="1:4" x14ac:dyDescent="0.25">
      <c r="A3359" s="2" t="s">
        <v>3181</v>
      </c>
      <c r="B3359" s="1">
        <v>14421</v>
      </c>
      <c r="C3359" t="s">
        <v>3171</v>
      </c>
      <c r="D3359" t="s">
        <v>3110</v>
      </c>
    </row>
    <row r="3360" spans="1:4" x14ac:dyDescent="0.25">
      <c r="A3360" s="2" t="s">
        <v>3182</v>
      </c>
      <c r="B3360" s="1">
        <v>14371</v>
      </c>
      <c r="C3360" t="s">
        <v>3171</v>
      </c>
      <c r="D3360" t="s">
        <v>3110</v>
      </c>
    </row>
    <row r="3361" spans="1:4" x14ac:dyDescent="0.25">
      <c r="A3361" s="2" t="s">
        <v>3183</v>
      </c>
      <c r="B3361" s="1">
        <v>14371</v>
      </c>
      <c r="C3361" t="s">
        <v>3171</v>
      </c>
      <c r="D3361" t="s">
        <v>3110</v>
      </c>
    </row>
    <row r="3362" spans="1:4" x14ac:dyDescent="0.25">
      <c r="A3362" s="2" t="s">
        <v>3184</v>
      </c>
      <c r="B3362" s="1">
        <v>14371</v>
      </c>
      <c r="C3362" t="s">
        <v>3171</v>
      </c>
      <c r="D3362" t="s">
        <v>3110</v>
      </c>
    </row>
    <row r="3363" spans="1:4" x14ac:dyDescent="0.25">
      <c r="A3363" s="2" t="s">
        <v>3185</v>
      </c>
      <c r="B3363" s="1">
        <v>14418</v>
      </c>
      <c r="C3363" t="s">
        <v>3171</v>
      </c>
      <c r="D3363" t="s">
        <v>3110</v>
      </c>
    </row>
    <row r="3364" spans="1:4" x14ac:dyDescent="0.25">
      <c r="A3364" s="2" t="s">
        <v>3186</v>
      </c>
      <c r="B3364" s="1">
        <v>14424</v>
      </c>
      <c r="C3364" t="s">
        <v>3171</v>
      </c>
      <c r="D3364" t="s">
        <v>3110</v>
      </c>
    </row>
    <row r="3365" spans="1:4" x14ac:dyDescent="0.25">
      <c r="A3365" s="2" t="s">
        <v>3187</v>
      </c>
      <c r="B3365" s="1">
        <v>14459</v>
      </c>
      <c r="C3365" t="s">
        <v>3171</v>
      </c>
      <c r="D3365" t="s">
        <v>3110</v>
      </c>
    </row>
    <row r="3366" spans="1:4" x14ac:dyDescent="0.25">
      <c r="A3366" s="2" t="s">
        <v>3188</v>
      </c>
      <c r="B3366" s="1">
        <v>14412</v>
      </c>
      <c r="C3366" t="s">
        <v>3171</v>
      </c>
      <c r="D3366" t="s">
        <v>3110</v>
      </c>
    </row>
    <row r="3367" spans="1:4" x14ac:dyDescent="0.25">
      <c r="A3367" s="2" t="s">
        <v>3189</v>
      </c>
      <c r="B3367" s="1">
        <v>14476</v>
      </c>
      <c r="C3367" t="s">
        <v>3171</v>
      </c>
      <c r="D3367" t="s">
        <v>3110</v>
      </c>
    </row>
    <row r="3368" spans="1:4" x14ac:dyDescent="0.25">
      <c r="A3368" s="2" t="s">
        <v>3190</v>
      </c>
      <c r="B3368" s="1">
        <v>14476</v>
      </c>
      <c r="C3368" t="s">
        <v>3171</v>
      </c>
      <c r="D3368" t="s">
        <v>3110</v>
      </c>
    </row>
    <row r="3369" spans="1:4" x14ac:dyDescent="0.25">
      <c r="A3369" s="2" t="s">
        <v>3191</v>
      </c>
      <c r="B3369" s="1">
        <v>14476</v>
      </c>
      <c r="C3369" t="s">
        <v>3171</v>
      </c>
      <c r="D3369" t="s">
        <v>3110</v>
      </c>
    </row>
    <row r="3370" spans="1:4" x14ac:dyDescent="0.25">
      <c r="A3370" s="2" t="s">
        <v>3192</v>
      </c>
      <c r="B3370" s="1">
        <v>14456</v>
      </c>
      <c r="C3370" t="s">
        <v>3171</v>
      </c>
      <c r="D3370" t="s">
        <v>3110</v>
      </c>
    </row>
    <row r="3371" spans="1:4" x14ac:dyDescent="0.25">
      <c r="A3371" s="2" t="s">
        <v>3193</v>
      </c>
      <c r="B3371" s="1">
        <v>14421</v>
      </c>
      <c r="C3371" t="s">
        <v>3171</v>
      </c>
      <c r="D3371" t="s">
        <v>3110</v>
      </c>
    </row>
    <row r="3372" spans="1:4" x14ac:dyDescent="0.25">
      <c r="A3372" s="2" t="s">
        <v>3194</v>
      </c>
      <c r="B3372" s="1">
        <v>14455</v>
      </c>
      <c r="C3372" t="s">
        <v>3171</v>
      </c>
      <c r="D3372" t="s">
        <v>3110</v>
      </c>
    </row>
    <row r="3373" spans="1:4" x14ac:dyDescent="0.25">
      <c r="A3373" s="2" t="s">
        <v>3195</v>
      </c>
      <c r="B3373" s="1">
        <v>14464</v>
      </c>
      <c r="C3373" t="s">
        <v>3171</v>
      </c>
      <c r="D3373" t="s">
        <v>3110</v>
      </c>
    </row>
    <row r="3374" spans="1:4" x14ac:dyDescent="0.25">
      <c r="A3374" s="2" t="s">
        <v>3196</v>
      </c>
      <c r="B3374" s="1">
        <v>14446</v>
      </c>
      <c r="C3374" t="s">
        <v>3171</v>
      </c>
      <c r="D3374" t="s">
        <v>3110</v>
      </c>
    </row>
    <row r="3375" spans="1:4" x14ac:dyDescent="0.25">
      <c r="A3375" s="2" t="s">
        <v>3197</v>
      </c>
      <c r="B3375" s="1">
        <v>14446</v>
      </c>
      <c r="C3375" t="s">
        <v>3171</v>
      </c>
      <c r="D3375" t="s">
        <v>3110</v>
      </c>
    </row>
    <row r="3376" spans="1:4" x14ac:dyDescent="0.25">
      <c r="A3376" s="2" t="s">
        <v>3198</v>
      </c>
      <c r="B3376" s="1">
        <v>14446</v>
      </c>
      <c r="C3376" t="s">
        <v>3171</v>
      </c>
      <c r="D3376" t="s">
        <v>3110</v>
      </c>
    </row>
    <row r="3377" spans="1:4" x14ac:dyDescent="0.25">
      <c r="A3377" s="2" t="s">
        <v>3199</v>
      </c>
      <c r="B3377" s="1">
        <v>14434</v>
      </c>
      <c r="C3377" t="s">
        <v>3171</v>
      </c>
      <c r="D3377" t="s">
        <v>3110</v>
      </c>
    </row>
    <row r="3378" spans="1:4" x14ac:dyDescent="0.25">
      <c r="A3378" s="2" t="s">
        <v>3200</v>
      </c>
      <c r="B3378" s="1">
        <v>14481</v>
      </c>
      <c r="C3378" t="s">
        <v>3171</v>
      </c>
      <c r="D3378" t="s">
        <v>3110</v>
      </c>
    </row>
    <row r="3379" spans="1:4" x14ac:dyDescent="0.25">
      <c r="A3379" s="2" t="s">
        <v>3201</v>
      </c>
      <c r="B3379" s="1">
        <v>14572</v>
      </c>
      <c r="C3379" t="s">
        <v>3171</v>
      </c>
      <c r="D3379" t="s">
        <v>3110</v>
      </c>
    </row>
    <row r="3380" spans="1:4" x14ac:dyDescent="0.25">
      <c r="A3380" s="2" t="s">
        <v>3202</v>
      </c>
      <c r="B3380" s="1">
        <v>14577</v>
      </c>
      <c r="C3380" t="s">
        <v>3203</v>
      </c>
      <c r="D3380" t="s">
        <v>3204</v>
      </c>
    </row>
    <row r="3381" spans="1:4" x14ac:dyDescent="0.25">
      <c r="A3381" s="2" t="s">
        <v>3205</v>
      </c>
      <c r="B3381" s="1">
        <v>14577</v>
      </c>
      <c r="C3381" t="s">
        <v>3203</v>
      </c>
      <c r="D3381" t="s">
        <v>3204</v>
      </c>
    </row>
    <row r="3382" spans="1:4" x14ac:dyDescent="0.25">
      <c r="A3382" s="2" t="s">
        <v>3206</v>
      </c>
      <c r="B3382" s="1">
        <v>14577</v>
      </c>
      <c r="C3382" t="s">
        <v>3203</v>
      </c>
      <c r="D3382" t="s">
        <v>3204</v>
      </c>
    </row>
    <row r="3383" spans="1:4" x14ac:dyDescent="0.25">
      <c r="A3383" s="2" t="s">
        <v>3207</v>
      </c>
      <c r="B3383" s="1">
        <v>14577</v>
      </c>
      <c r="C3383" t="s">
        <v>3203</v>
      </c>
      <c r="D3383" t="s">
        <v>3204</v>
      </c>
    </row>
    <row r="3384" spans="1:4" x14ac:dyDescent="0.25">
      <c r="A3384" s="2" t="s">
        <v>3208</v>
      </c>
      <c r="B3384" s="1">
        <v>14533</v>
      </c>
      <c r="C3384" t="s">
        <v>3203</v>
      </c>
      <c r="D3384" t="s">
        <v>3204</v>
      </c>
    </row>
    <row r="3385" spans="1:4" x14ac:dyDescent="0.25">
      <c r="A3385" s="2" t="s">
        <v>3209</v>
      </c>
      <c r="B3385" s="1">
        <v>14519</v>
      </c>
      <c r="C3385" t="s">
        <v>3203</v>
      </c>
      <c r="D3385" t="s">
        <v>3204</v>
      </c>
    </row>
    <row r="3386" spans="1:4" x14ac:dyDescent="0.25">
      <c r="A3386" s="2" t="s">
        <v>3210</v>
      </c>
      <c r="B3386" s="1">
        <v>14513</v>
      </c>
      <c r="C3386" t="s">
        <v>3203</v>
      </c>
      <c r="D3386" t="s">
        <v>3204</v>
      </c>
    </row>
    <row r="3387" spans="1:4" x14ac:dyDescent="0.25">
      <c r="A3387" s="2" t="s">
        <v>3211</v>
      </c>
      <c r="B3387" s="1">
        <v>14580</v>
      </c>
      <c r="C3387" t="s">
        <v>3203</v>
      </c>
      <c r="D3387" t="s">
        <v>3204</v>
      </c>
    </row>
    <row r="3388" spans="1:4" x14ac:dyDescent="0.25">
      <c r="A3388" s="2" t="s">
        <v>3212</v>
      </c>
      <c r="B3388" s="1">
        <v>14580</v>
      </c>
      <c r="C3388" t="s">
        <v>3203</v>
      </c>
      <c r="D3388" t="s">
        <v>3204</v>
      </c>
    </row>
    <row r="3389" spans="1:4" x14ac:dyDescent="0.25">
      <c r="A3389" s="2" t="s">
        <v>3213</v>
      </c>
      <c r="B3389" s="1">
        <v>14580</v>
      </c>
      <c r="C3389" t="s">
        <v>3203</v>
      </c>
      <c r="D3389" t="s">
        <v>3204</v>
      </c>
    </row>
    <row r="3390" spans="1:4" x14ac:dyDescent="0.25">
      <c r="A3390" s="2" t="s">
        <v>3214</v>
      </c>
      <c r="B3390" s="1">
        <v>14580</v>
      </c>
      <c r="C3390" t="s">
        <v>3203</v>
      </c>
      <c r="D3390" t="s">
        <v>3204</v>
      </c>
    </row>
    <row r="3391" spans="1:4" x14ac:dyDescent="0.25">
      <c r="A3391" s="2" t="s">
        <v>3215</v>
      </c>
      <c r="B3391" s="1">
        <v>14631</v>
      </c>
      <c r="C3391" t="s">
        <v>3203</v>
      </c>
      <c r="D3391" t="s">
        <v>3204</v>
      </c>
    </row>
    <row r="3392" spans="1:4" x14ac:dyDescent="0.25">
      <c r="A3392" s="2" t="s">
        <v>3216</v>
      </c>
      <c r="B3392" s="1">
        <v>14648</v>
      </c>
      <c r="C3392" t="s">
        <v>3203</v>
      </c>
      <c r="D3392" t="s">
        <v>3204</v>
      </c>
    </row>
    <row r="3393" spans="1:4" x14ac:dyDescent="0.25">
      <c r="A3393" s="2" t="s">
        <v>3217</v>
      </c>
      <c r="B3393" s="1">
        <v>14633</v>
      </c>
      <c r="C3393" t="s">
        <v>3203</v>
      </c>
      <c r="D3393" t="s">
        <v>3204</v>
      </c>
    </row>
    <row r="3394" spans="1:4" x14ac:dyDescent="0.25">
      <c r="A3394" s="2" t="s">
        <v>3218</v>
      </c>
      <c r="B3394" s="1">
        <v>14646</v>
      </c>
      <c r="C3394" t="s">
        <v>3203</v>
      </c>
      <c r="D3394" t="s">
        <v>3204</v>
      </c>
    </row>
    <row r="3395" spans="1:4" x14ac:dyDescent="0.25">
      <c r="A3395" s="2" t="s">
        <v>3219</v>
      </c>
      <c r="B3395" s="1">
        <v>14592</v>
      </c>
      <c r="C3395" t="s">
        <v>3203</v>
      </c>
      <c r="D3395" t="s">
        <v>3204</v>
      </c>
    </row>
    <row r="3396" spans="1:4" x14ac:dyDescent="0.25">
      <c r="A3396" s="2" t="s">
        <v>3220</v>
      </c>
      <c r="B3396" s="1">
        <v>14592</v>
      </c>
      <c r="C3396" t="s">
        <v>3203</v>
      </c>
      <c r="D3396" t="s">
        <v>3204</v>
      </c>
    </row>
    <row r="3397" spans="1:4" x14ac:dyDescent="0.25">
      <c r="A3397" s="2" t="s">
        <v>3221</v>
      </c>
      <c r="B3397" s="1">
        <v>14592</v>
      </c>
      <c r="C3397" t="s">
        <v>3203</v>
      </c>
      <c r="D3397" t="s">
        <v>3204</v>
      </c>
    </row>
    <row r="3398" spans="1:4" x14ac:dyDescent="0.25">
      <c r="A3398" s="2" t="s">
        <v>3222</v>
      </c>
      <c r="B3398" s="1">
        <v>14568</v>
      </c>
      <c r="C3398" t="s">
        <v>3203</v>
      </c>
      <c r="D3398" t="s">
        <v>3204</v>
      </c>
    </row>
    <row r="3399" spans="1:4" x14ac:dyDescent="0.25">
      <c r="A3399" s="2" t="s">
        <v>3223</v>
      </c>
      <c r="B3399" s="1">
        <v>14508</v>
      </c>
      <c r="C3399" t="s">
        <v>3203</v>
      </c>
      <c r="D3399" t="s">
        <v>3204</v>
      </c>
    </row>
    <row r="3400" spans="1:4" x14ac:dyDescent="0.25">
      <c r="A3400" s="2" t="s">
        <v>3224</v>
      </c>
      <c r="B3400" s="1">
        <v>14549</v>
      </c>
      <c r="C3400" t="s">
        <v>3203</v>
      </c>
      <c r="D3400" t="s">
        <v>3204</v>
      </c>
    </row>
    <row r="3401" spans="1:4" x14ac:dyDescent="0.25">
      <c r="A3401" s="2" t="s">
        <v>3225</v>
      </c>
      <c r="B3401" s="1">
        <v>14530</v>
      </c>
      <c r="C3401" t="s">
        <v>3203</v>
      </c>
      <c r="D3401" t="s">
        <v>3204</v>
      </c>
    </row>
    <row r="3402" spans="1:4" x14ac:dyDescent="0.25">
      <c r="A3402" s="2" t="s">
        <v>3226</v>
      </c>
      <c r="B3402" s="1">
        <v>14548</v>
      </c>
      <c r="C3402" t="s">
        <v>3203</v>
      </c>
      <c r="D3402" t="s">
        <v>3204</v>
      </c>
    </row>
    <row r="3403" spans="1:4" x14ac:dyDescent="0.25">
      <c r="A3403" s="2" t="s">
        <v>3227</v>
      </c>
      <c r="B3403" s="1">
        <v>14548</v>
      </c>
      <c r="C3403" t="s">
        <v>3203</v>
      </c>
      <c r="D3403" t="s">
        <v>3204</v>
      </c>
    </row>
    <row r="3404" spans="1:4" x14ac:dyDescent="0.25">
      <c r="A3404" s="2" t="s">
        <v>3228</v>
      </c>
      <c r="B3404" s="1">
        <v>14548</v>
      </c>
      <c r="C3404" t="s">
        <v>3203</v>
      </c>
      <c r="D3404" t="s">
        <v>3204</v>
      </c>
    </row>
    <row r="3405" spans="1:4" x14ac:dyDescent="0.25">
      <c r="A3405" s="2" t="s">
        <v>3229</v>
      </c>
      <c r="B3405" s="1">
        <v>14489</v>
      </c>
      <c r="C3405" t="s">
        <v>3203</v>
      </c>
      <c r="D3405" t="s">
        <v>3204</v>
      </c>
    </row>
    <row r="3406" spans="1:4" x14ac:dyDescent="0.25">
      <c r="A3406" s="2" t="s">
        <v>3230</v>
      </c>
      <c r="B3406" s="1">
        <v>14497</v>
      </c>
      <c r="C3406" t="s">
        <v>3203</v>
      </c>
      <c r="D3406" t="s">
        <v>3204</v>
      </c>
    </row>
    <row r="3407" spans="1:4" x14ac:dyDescent="0.25">
      <c r="A3407" s="2" t="s">
        <v>3231</v>
      </c>
      <c r="B3407" s="1">
        <v>14510</v>
      </c>
      <c r="C3407" t="s">
        <v>3203</v>
      </c>
      <c r="D3407" t="s">
        <v>3204</v>
      </c>
    </row>
    <row r="3408" spans="1:4" x14ac:dyDescent="0.25">
      <c r="A3408" s="2" t="s">
        <v>3232</v>
      </c>
      <c r="B3408" s="1">
        <v>14468</v>
      </c>
      <c r="C3408" t="s">
        <v>3203</v>
      </c>
      <c r="D3408" t="s">
        <v>3204</v>
      </c>
    </row>
    <row r="3409" spans="1:4" x14ac:dyDescent="0.25">
      <c r="A3409" s="2" t="s">
        <v>3233</v>
      </c>
      <c r="B3409" s="1">
        <v>14453</v>
      </c>
      <c r="C3409" t="s">
        <v>3203</v>
      </c>
      <c r="D3409" t="s">
        <v>3204</v>
      </c>
    </row>
    <row r="3410" spans="1:4" x14ac:dyDescent="0.25">
      <c r="A3410" s="2" t="s">
        <v>3234</v>
      </c>
      <c r="B3410" s="1">
        <v>14453</v>
      </c>
      <c r="C3410" t="s">
        <v>3235</v>
      </c>
      <c r="D3410" t="s">
        <v>3204</v>
      </c>
    </row>
    <row r="3411" spans="1:4" x14ac:dyDescent="0.25">
      <c r="A3411" s="2" t="s">
        <v>3236</v>
      </c>
      <c r="B3411" s="1">
        <v>14453</v>
      </c>
      <c r="C3411" t="s">
        <v>3235</v>
      </c>
      <c r="D3411" t="s">
        <v>3204</v>
      </c>
    </row>
    <row r="3412" spans="1:4" x14ac:dyDescent="0.25">
      <c r="A3412" s="2" t="s">
        <v>3237</v>
      </c>
      <c r="B3412" s="1">
        <v>14467</v>
      </c>
      <c r="C3412" t="s">
        <v>3235</v>
      </c>
      <c r="D3412" t="s">
        <v>3204</v>
      </c>
    </row>
    <row r="3413" spans="1:4" x14ac:dyDescent="0.25">
      <c r="A3413" s="2" t="s">
        <v>3238</v>
      </c>
      <c r="B3413" s="1">
        <v>14431</v>
      </c>
      <c r="C3413" t="s">
        <v>3235</v>
      </c>
      <c r="D3413" t="s">
        <v>3204</v>
      </c>
    </row>
    <row r="3414" spans="1:4" x14ac:dyDescent="0.25">
      <c r="A3414" s="2" t="s">
        <v>3239</v>
      </c>
      <c r="B3414" s="1">
        <v>14439</v>
      </c>
      <c r="C3414" t="s">
        <v>3235</v>
      </c>
      <c r="D3414" t="s">
        <v>3204</v>
      </c>
    </row>
    <row r="3415" spans="1:4" x14ac:dyDescent="0.25">
      <c r="A3415" s="2" t="s">
        <v>3240</v>
      </c>
      <c r="B3415" s="1">
        <v>14364</v>
      </c>
      <c r="C3415" t="s">
        <v>3235</v>
      </c>
      <c r="D3415" t="s">
        <v>3204</v>
      </c>
    </row>
    <row r="3416" spans="1:4" x14ac:dyDescent="0.25">
      <c r="A3416" s="2" t="s">
        <v>3241</v>
      </c>
      <c r="B3416" s="1">
        <v>14289</v>
      </c>
      <c r="C3416" t="s">
        <v>3235</v>
      </c>
      <c r="D3416" t="s">
        <v>3204</v>
      </c>
    </row>
    <row r="3417" spans="1:4" x14ac:dyDescent="0.25">
      <c r="A3417" s="2" t="s">
        <v>3242</v>
      </c>
      <c r="B3417" s="1">
        <v>14289</v>
      </c>
      <c r="C3417" t="s">
        <v>3235</v>
      </c>
      <c r="D3417" t="s">
        <v>3204</v>
      </c>
    </row>
    <row r="3418" spans="1:4" x14ac:dyDescent="0.25">
      <c r="A3418" s="2" t="s">
        <v>3243</v>
      </c>
      <c r="B3418" s="1">
        <v>14289</v>
      </c>
      <c r="C3418" t="s">
        <v>3235</v>
      </c>
      <c r="D3418" t="s">
        <v>3204</v>
      </c>
    </row>
    <row r="3419" spans="1:4" x14ac:dyDescent="0.25">
      <c r="A3419" s="2" t="s">
        <v>3244</v>
      </c>
      <c r="B3419" s="1">
        <v>14198</v>
      </c>
      <c r="C3419" t="s">
        <v>3235</v>
      </c>
      <c r="D3419" t="s">
        <v>3204</v>
      </c>
    </row>
    <row r="3420" spans="1:4" x14ac:dyDescent="0.25">
      <c r="A3420" s="2" t="s">
        <v>3245</v>
      </c>
      <c r="B3420" s="1">
        <v>14203</v>
      </c>
      <c r="C3420" t="s">
        <v>3235</v>
      </c>
      <c r="D3420" t="s">
        <v>3204</v>
      </c>
    </row>
    <row r="3421" spans="1:4" x14ac:dyDescent="0.25">
      <c r="A3421" s="2" t="s">
        <v>3246</v>
      </c>
      <c r="B3421" s="1">
        <v>14203</v>
      </c>
      <c r="C3421" t="s">
        <v>3235</v>
      </c>
      <c r="D3421" t="s">
        <v>3204</v>
      </c>
    </row>
    <row r="3422" spans="1:4" x14ac:dyDescent="0.25">
      <c r="A3422" s="2" t="s">
        <v>3247</v>
      </c>
      <c r="B3422" s="1">
        <v>14203</v>
      </c>
      <c r="C3422" t="s">
        <v>3235</v>
      </c>
      <c r="D3422" t="s">
        <v>3204</v>
      </c>
    </row>
    <row r="3423" spans="1:4" x14ac:dyDescent="0.25">
      <c r="A3423" s="2" t="s">
        <v>3248</v>
      </c>
      <c r="B3423" s="1">
        <v>14203</v>
      </c>
      <c r="C3423" t="s">
        <v>3235</v>
      </c>
      <c r="D3423" t="s">
        <v>3204</v>
      </c>
    </row>
    <row r="3424" spans="1:4" x14ac:dyDescent="0.25">
      <c r="A3424" s="2" t="s">
        <v>3249</v>
      </c>
      <c r="B3424" s="1">
        <v>14203</v>
      </c>
      <c r="C3424" t="s">
        <v>3235</v>
      </c>
      <c r="D3424" t="s">
        <v>3204</v>
      </c>
    </row>
    <row r="3425" spans="1:4" x14ac:dyDescent="0.25">
      <c r="A3425" s="2" t="s">
        <v>3250</v>
      </c>
      <c r="B3425" s="1">
        <v>14203</v>
      </c>
      <c r="C3425" t="s">
        <v>3235</v>
      </c>
      <c r="D3425" t="s">
        <v>3204</v>
      </c>
    </row>
    <row r="3426" spans="1:4" x14ac:dyDescent="0.25">
      <c r="A3426" s="2" t="s">
        <v>3251</v>
      </c>
      <c r="B3426" s="1">
        <v>14284</v>
      </c>
      <c r="C3426" t="s">
        <v>3235</v>
      </c>
      <c r="D3426" t="s">
        <v>3204</v>
      </c>
    </row>
    <row r="3427" spans="1:4" x14ac:dyDescent="0.25">
      <c r="A3427" s="2" t="s">
        <v>3252</v>
      </c>
      <c r="B3427" s="1">
        <v>14300</v>
      </c>
      <c r="C3427" t="s">
        <v>3235</v>
      </c>
      <c r="D3427" t="s">
        <v>3204</v>
      </c>
    </row>
    <row r="3428" spans="1:4" x14ac:dyDescent="0.25">
      <c r="A3428" s="2" t="s">
        <v>3253</v>
      </c>
      <c r="B3428" s="1">
        <v>14313</v>
      </c>
      <c r="C3428" t="s">
        <v>3235</v>
      </c>
      <c r="D3428" t="s">
        <v>3204</v>
      </c>
    </row>
    <row r="3429" spans="1:4" x14ac:dyDescent="0.25">
      <c r="A3429" s="2" t="s">
        <v>3254</v>
      </c>
      <c r="B3429" s="1">
        <v>14396</v>
      </c>
      <c r="C3429" t="s">
        <v>3235</v>
      </c>
      <c r="D3429" t="s">
        <v>3204</v>
      </c>
    </row>
    <row r="3430" spans="1:4" x14ac:dyDescent="0.25">
      <c r="A3430" s="2" t="s">
        <v>3255</v>
      </c>
      <c r="B3430" s="1">
        <v>14375</v>
      </c>
      <c r="C3430" t="s">
        <v>3235</v>
      </c>
      <c r="D3430" t="s">
        <v>3204</v>
      </c>
    </row>
    <row r="3431" spans="1:4" x14ac:dyDescent="0.25">
      <c r="A3431" s="2" t="s">
        <v>3256</v>
      </c>
      <c r="B3431" s="1">
        <v>14375</v>
      </c>
      <c r="C3431" t="s">
        <v>3235</v>
      </c>
      <c r="D3431" t="s">
        <v>3204</v>
      </c>
    </row>
    <row r="3432" spans="1:4" x14ac:dyDescent="0.25">
      <c r="A3432" s="2" t="s">
        <v>3257</v>
      </c>
      <c r="B3432" s="1">
        <v>14375</v>
      </c>
      <c r="C3432" t="s">
        <v>3235</v>
      </c>
      <c r="D3432" t="s">
        <v>3204</v>
      </c>
    </row>
    <row r="3433" spans="1:4" x14ac:dyDescent="0.25">
      <c r="A3433" s="2" t="s">
        <v>3258</v>
      </c>
      <c r="B3433" s="1">
        <v>14362</v>
      </c>
      <c r="C3433" t="s">
        <v>3235</v>
      </c>
      <c r="D3433" t="s">
        <v>3204</v>
      </c>
    </row>
    <row r="3434" spans="1:4" x14ac:dyDescent="0.25">
      <c r="A3434" s="2" t="s">
        <v>3259</v>
      </c>
      <c r="B3434" s="1">
        <v>14335</v>
      </c>
      <c r="C3434" t="s">
        <v>3235</v>
      </c>
      <c r="D3434" t="s">
        <v>3204</v>
      </c>
    </row>
    <row r="3435" spans="1:4" x14ac:dyDescent="0.25">
      <c r="A3435" s="2" t="s">
        <v>3260</v>
      </c>
      <c r="B3435" s="1">
        <v>14335</v>
      </c>
      <c r="C3435" t="s">
        <v>3235</v>
      </c>
      <c r="D3435" t="s">
        <v>3204</v>
      </c>
    </row>
    <row r="3436" spans="1:4" x14ac:dyDescent="0.25">
      <c r="A3436" s="2" t="s">
        <v>3261</v>
      </c>
      <c r="B3436" s="1">
        <v>14312</v>
      </c>
      <c r="C3436" t="s">
        <v>3235</v>
      </c>
      <c r="D3436" t="s">
        <v>3204</v>
      </c>
    </row>
    <row r="3437" spans="1:4" x14ac:dyDescent="0.25">
      <c r="A3437" s="2" t="s">
        <v>3262</v>
      </c>
      <c r="B3437" s="1">
        <v>14310</v>
      </c>
      <c r="C3437" t="s">
        <v>3235</v>
      </c>
      <c r="D3437" t="s">
        <v>3204</v>
      </c>
    </row>
    <row r="3438" spans="1:4" x14ac:dyDescent="0.25">
      <c r="A3438" s="2" t="s">
        <v>3263</v>
      </c>
      <c r="B3438" s="1">
        <v>14310</v>
      </c>
      <c r="C3438" t="s">
        <v>3235</v>
      </c>
      <c r="D3438" t="s">
        <v>3204</v>
      </c>
    </row>
    <row r="3439" spans="1:4" x14ac:dyDescent="0.25">
      <c r="A3439" s="2" t="s">
        <v>3264</v>
      </c>
      <c r="B3439" s="1">
        <v>14310</v>
      </c>
      <c r="C3439" t="s">
        <v>3235</v>
      </c>
      <c r="D3439" t="s">
        <v>3204</v>
      </c>
    </row>
    <row r="3440" spans="1:4" x14ac:dyDescent="0.25">
      <c r="A3440" s="2" t="s">
        <v>3265</v>
      </c>
      <c r="B3440" s="1">
        <v>14292</v>
      </c>
      <c r="C3440" t="s">
        <v>3235</v>
      </c>
      <c r="D3440" t="s">
        <v>3204</v>
      </c>
    </row>
    <row r="3441" spans="1:4" x14ac:dyDescent="0.25">
      <c r="A3441" s="2" t="s">
        <v>3266</v>
      </c>
      <c r="B3441" s="1">
        <v>14292</v>
      </c>
      <c r="C3441" t="s">
        <v>3267</v>
      </c>
      <c r="D3441" t="s">
        <v>3204</v>
      </c>
    </row>
    <row r="3442" spans="1:4" x14ac:dyDescent="0.25">
      <c r="A3442" s="2" t="s">
        <v>3268</v>
      </c>
      <c r="B3442" s="1">
        <v>14276</v>
      </c>
      <c r="C3442" t="s">
        <v>3267</v>
      </c>
      <c r="D3442" t="s">
        <v>3204</v>
      </c>
    </row>
    <row r="3443" spans="1:4" x14ac:dyDescent="0.25">
      <c r="A3443" s="2" t="s">
        <v>3269</v>
      </c>
      <c r="B3443" s="1">
        <v>14297</v>
      </c>
      <c r="C3443" t="s">
        <v>3267</v>
      </c>
      <c r="D3443" t="s">
        <v>3204</v>
      </c>
    </row>
    <row r="3444" spans="1:4" x14ac:dyDescent="0.25">
      <c r="A3444" s="2" t="s">
        <v>3270</v>
      </c>
      <c r="B3444" s="1">
        <v>14316</v>
      </c>
      <c r="C3444" t="s">
        <v>3267</v>
      </c>
      <c r="D3444" t="s">
        <v>3204</v>
      </c>
    </row>
    <row r="3445" spans="1:4" x14ac:dyDescent="0.25">
      <c r="A3445" s="2" t="s">
        <v>3271</v>
      </c>
      <c r="B3445" s="1">
        <v>14316</v>
      </c>
      <c r="C3445" t="s">
        <v>3267</v>
      </c>
      <c r="D3445" t="s">
        <v>3204</v>
      </c>
    </row>
    <row r="3446" spans="1:4" x14ac:dyDescent="0.25">
      <c r="A3446" s="2" t="s">
        <v>3272</v>
      </c>
      <c r="B3446" s="1">
        <v>14316</v>
      </c>
      <c r="C3446" t="s">
        <v>3267</v>
      </c>
      <c r="D3446" t="s">
        <v>3204</v>
      </c>
    </row>
    <row r="3447" spans="1:4" x14ac:dyDescent="0.25">
      <c r="A3447" s="2" t="s">
        <v>3273</v>
      </c>
      <c r="B3447" s="1">
        <v>14271</v>
      </c>
      <c r="C3447" t="s">
        <v>3267</v>
      </c>
      <c r="D3447" t="s">
        <v>3204</v>
      </c>
    </row>
    <row r="3448" spans="1:4" x14ac:dyDescent="0.25">
      <c r="A3448" s="2" t="s">
        <v>3274</v>
      </c>
      <c r="B3448" s="1">
        <v>14262</v>
      </c>
      <c r="C3448" t="s">
        <v>3267</v>
      </c>
      <c r="D3448" t="s">
        <v>3204</v>
      </c>
    </row>
    <row r="3449" spans="1:4" x14ac:dyDescent="0.25">
      <c r="A3449" s="2" t="s">
        <v>3275</v>
      </c>
      <c r="B3449" s="1">
        <v>14262</v>
      </c>
      <c r="C3449" t="s">
        <v>3267</v>
      </c>
      <c r="D3449" t="s">
        <v>3204</v>
      </c>
    </row>
    <row r="3450" spans="1:4" x14ac:dyDescent="0.25">
      <c r="A3450" s="2" t="s">
        <v>3276</v>
      </c>
      <c r="B3450" s="1">
        <v>14240</v>
      </c>
      <c r="C3450" t="s">
        <v>3267</v>
      </c>
      <c r="D3450" t="s">
        <v>3204</v>
      </c>
    </row>
    <row r="3451" spans="1:4" x14ac:dyDescent="0.25">
      <c r="A3451" s="2" t="s">
        <v>3277</v>
      </c>
      <c r="B3451" s="1">
        <v>14206</v>
      </c>
      <c r="C3451" t="s">
        <v>3267</v>
      </c>
      <c r="D3451" t="s">
        <v>3204</v>
      </c>
    </row>
    <row r="3452" spans="1:4" x14ac:dyDescent="0.25">
      <c r="A3452" s="2" t="s">
        <v>3278</v>
      </c>
      <c r="B3452" s="1">
        <v>14206</v>
      </c>
      <c r="C3452" t="s">
        <v>3267</v>
      </c>
      <c r="D3452" t="s">
        <v>3204</v>
      </c>
    </row>
    <row r="3453" spans="1:4" x14ac:dyDescent="0.25">
      <c r="A3453" s="2" t="s">
        <v>3279</v>
      </c>
      <c r="B3453" s="1">
        <v>14206</v>
      </c>
      <c r="C3453" t="s">
        <v>3267</v>
      </c>
      <c r="D3453" t="s">
        <v>3204</v>
      </c>
    </row>
    <row r="3454" spans="1:4" x14ac:dyDescent="0.25">
      <c r="A3454" s="2" t="s">
        <v>3280</v>
      </c>
      <c r="B3454" s="1">
        <v>14222</v>
      </c>
      <c r="C3454" t="s">
        <v>3267</v>
      </c>
      <c r="D3454" t="s">
        <v>3204</v>
      </c>
    </row>
    <row r="3455" spans="1:4" x14ac:dyDescent="0.25">
      <c r="A3455" s="2" t="s">
        <v>3281</v>
      </c>
      <c r="B3455" s="1">
        <v>14244</v>
      </c>
      <c r="C3455" t="s">
        <v>3267</v>
      </c>
      <c r="D3455" t="s">
        <v>3204</v>
      </c>
    </row>
    <row r="3456" spans="1:4" x14ac:dyDescent="0.25">
      <c r="A3456" s="2" t="s">
        <v>3282</v>
      </c>
      <c r="B3456" s="1">
        <v>14257</v>
      </c>
      <c r="C3456" t="s">
        <v>3267</v>
      </c>
      <c r="D3456" t="s">
        <v>3204</v>
      </c>
    </row>
    <row r="3457" spans="1:4" x14ac:dyDescent="0.25">
      <c r="A3457" s="2" t="s">
        <v>3283</v>
      </c>
      <c r="B3457" s="1">
        <v>14378</v>
      </c>
      <c r="C3457" t="s">
        <v>3267</v>
      </c>
      <c r="D3457" t="s">
        <v>3204</v>
      </c>
    </row>
    <row r="3458" spans="1:4" x14ac:dyDescent="0.25">
      <c r="A3458" s="2" t="s">
        <v>3284</v>
      </c>
      <c r="B3458" s="1">
        <v>14403</v>
      </c>
      <c r="C3458" t="s">
        <v>3267</v>
      </c>
      <c r="D3458" t="s">
        <v>3204</v>
      </c>
    </row>
    <row r="3459" spans="1:4" x14ac:dyDescent="0.25">
      <c r="A3459" s="2" t="s">
        <v>3285</v>
      </c>
      <c r="B3459" s="1">
        <v>14403</v>
      </c>
      <c r="C3459" t="s">
        <v>3267</v>
      </c>
      <c r="D3459" t="s">
        <v>3204</v>
      </c>
    </row>
    <row r="3460" spans="1:4" x14ac:dyDescent="0.25">
      <c r="A3460" s="2" t="s">
        <v>3286</v>
      </c>
      <c r="B3460" s="1">
        <v>14403</v>
      </c>
      <c r="C3460" t="s">
        <v>3267</v>
      </c>
      <c r="D3460" t="s">
        <v>3204</v>
      </c>
    </row>
    <row r="3461" spans="1:4" x14ac:dyDescent="0.25">
      <c r="A3461" s="2" t="s">
        <v>3287</v>
      </c>
      <c r="B3461" s="1">
        <v>14453</v>
      </c>
      <c r="C3461" t="s">
        <v>3267</v>
      </c>
      <c r="D3461" t="s">
        <v>3204</v>
      </c>
    </row>
    <row r="3462" spans="1:4" x14ac:dyDescent="0.25">
      <c r="A3462" s="2" t="s">
        <v>3288</v>
      </c>
      <c r="B3462" s="1">
        <v>14421</v>
      </c>
      <c r="C3462" t="s">
        <v>3267</v>
      </c>
      <c r="D3462" t="s">
        <v>3204</v>
      </c>
    </row>
    <row r="3463" spans="1:4" x14ac:dyDescent="0.25">
      <c r="A3463" s="2" t="s">
        <v>3289</v>
      </c>
      <c r="B3463" s="1">
        <v>14454</v>
      </c>
      <c r="C3463" t="s">
        <v>3267</v>
      </c>
      <c r="D3463" t="s">
        <v>3204</v>
      </c>
    </row>
    <row r="3464" spans="1:4" x14ac:dyDescent="0.25">
      <c r="A3464" s="2" t="s">
        <v>3290</v>
      </c>
      <c r="B3464" s="1">
        <v>14462</v>
      </c>
      <c r="C3464" t="s">
        <v>3267</v>
      </c>
      <c r="D3464" t="s">
        <v>3204</v>
      </c>
    </row>
    <row r="3465" spans="1:4" x14ac:dyDescent="0.25">
      <c r="A3465" s="2" t="s">
        <v>3291</v>
      </c>
      <c r="B3465" s="1">
        <v>14447</v>
      </c>
      <c r="C3465" t="s">
        <v>3267</v>
      </c>
      <c r="D3465" t="s">
        <v>3204</v>
      </c>
    </row>
    <row r="3466" spans="1:4" x14ac:dyDescent="0.25">
      <c r="A3466" s="2" t="s">
        <v>3292</v>
      </c>
      <c r="B3466" s="1">
        <v>14447</v>
      </c>
      <c r="C3466" t="s">
        <v>3267</v>
      </c>
      <c r="D3466" t="s">
        <v>3204</v>
      </c>
    </row>
    <row r="3467" spans="1:4" x14ac:dyDescent="0.25">
      <c r="A3467" s="2" t="s">
        <v>3293</v>
      </c>
      <c r="B3467" s="1">
        <v>14447</v>
      </c>
      <c r="C3467" t="s">
        <v>3267</v>
      </c>
      <c r="D3467" t="s">
        <v>3204</v>
      </c>
    </row>
    <row r="3468" spans="1:4" x14ac:dyDescent="0.25">
      <c r="A3468" s="2" t="s">
        <v>3294</v>
      </c>
      <c r="B3468" s="1">
        <v>14472</v>
      </c>
      <c r="C3468" t="s">
        <v>3267</v>
      </c>
      <c r="D3468" t="s">
        <v>3204</v>
      </c>
    </row>
    <row r="3469" spans="1:4" x14ac:dyDescent="0.25">
      <c r="A3469" s="2" t="s">
        <v>3295</v>
      </c>
      <c r="B3469" s="1">
        <v>14496</v>
      </c>
      <c r="C3469" t="s">
        <v>3267</v>
      </c>
      <c r="D3469" t="s">
        <v>3204</v>
      </c>
    </row>
    <row r="3470" spans="1:4" x14ac:dyDescent="0.25">
      <c r="A3470" s="2" t="s">
        <v>3296</v>
      </c>
      <c r="B3470" s="1">
        <v>14542</v>
      </c>
      <c r="C3470" t="s">
        <v>3267</v>
      </c>
      <c r="D3470" t="s">
        <v>3204</v>
      </c>
    </row>
    <row r="3471" spans="1:4" x14ac:dyDescent="0.25">
      <c r="A3471" s="2" t="s">
        <v>3297</v>
      </c>
      <c r="B3471" s="1">
        <v>14539</v>
      </c>
      <c r="C3471" t="s">
        <v>3298</v>
      </c>
      <c r="D3471" t="s">
        <v>3299</v>
      </c>
    </row>
    <row r="3472" spans="1:4" x14ac:dyDescent="0.25">
      <c r="A3472" s="2" t="s">
        <v>3300</v>
      </c>
      <c r="B3472" s="1">
        <v>14564</v>
      </c>
      <c r="C3472" t="s">
        <v>3298</v>
      </c>
      <c r="D3472" t="s">
        <v>3299</v>
      </c>
    </row>
    <row r="3473" spans="1:4" x14ac:dyDescent="0.25">
      <c r="A3473" s="2" t="s">
        <v>3301</v>
      </c>
      <c r="B3473" s="1">
        <v>14564</v>
      </c>
      <c r="C3473" t="s">
        <v>3298</v>
      </c>
      <c r="D3473" t="s">
        <v>3299</v>
      </c>
    </row>
    <row r="3474" spans="1:4" x14ac:dyDescent="0.25">
      <c r="A3474" s="2" t="s">
        <v>3302</v>
      </c>
      <c r="B3474" s="1">
        <v>14564</v>
      </c>
      <c r="C3474" t="s">
        <v>3298</v>
      </c>
      <c r="D3474" t="s">
        <v>3299</v>
      </c>
    </row>
    <row r="3475" spans="1:4" x14ac:dyDescent="0.25">
      <c r="A3475" s="2" t="s">
        <v>3303</v>
      </c>
      <c r="B3475" s="1">
        <v>14482</v>
      </c>
      <c r="C3475" t="s">
        <v>3298</v>
      </c>
      <c r="D3475" t="s">
        <v>3299</v>
      </c>
    </row>
    <row r="3476" spans="1:4" x14ac:dyDescent="0.25">
      <c r="A3476" s="2" t="s">
        <v>3304</v>
      </c>
      <c r="B3476" s="1">
        <v>14468</v>
      </c>
      <c r="C3476" t="s">
        <v>3298</v>
      </c>
      <c r="D3476" t="s">
        <v>3299</v>
      </c>
    </row>
    <row r="3477" spans="1:4" x14ac:dyDescent="0.25">
      <c r="A3477" s="2" t="s">
        <v>3305</v>
      </c>
      <c r="B3477" s="1">
        <v>14500</v>
      </c>
      <c r="C3477" t="s">
        <v>3298</v>
      </c>
      <c r="D3477" t="s">
        <v>3299</v>
      </c>
    </row>
    <row r="3478" spans="1:4" x14ac:dyDescent="0.25">
      <c r="A3478" s="2" t="s">
        <v>3306</v>
      </c>
      <c r="B3478" s="1">
        <v>14548</v>
      </c>
      <c r="C3478" t="s">
        <v>3298</v>
      </c>
      <c r="D3478" t="s">
        <v>3299</v>
      </c>
    </row>
    <row r="3479" spans="1:4" x14ac:dyDescent="0.25">
      <c r="A3479" s="2" t="s">
        <v>3307</v>
      </c>
      <c r="B3479" s="1">
        <v>14548</v>
      </c>
      <c r="C3479" t="s">
        <v>3298</v>
      </c>
      <c r="D3479" t="s">
        <v>3299</v>
      </c>
    </row>
    <row r="3480" spans="1:4" x14ac:dyDescent="0.25">
      <c r="A3480" s="2" t="s">
        <v>3308</v>
      </c>
      <c r="B3480" s="1">
        <v>14548</v>
      </c>
      <c r="C3480" t="s">
        <v>3298</v>
      </c>
      <c r="D3480" t="s">
        <v>3299</v>
      </c>
    </row>
    <row r="3481" spans="1:4" x14ac:dyDescent="0.25">
      <c r="A3481" s="2" t="s">
        <v>3309</v>
      </c>
      <c r="B3481" s="1">
        <v>14548</v>
      </c>
      <c r="C3481" t="s">
        <v>3298</v>
      </c>
      <c r="D3481" t="s">
        <v>3299</v>
      </c>
    </row>
    <row r="3482" spans="1:4" x14ac:dyDescent="0.25">
      <c r="A3482" s="2" t="s">
        <v>3310</v>
      </c>
      <c r="B3482" s="1">
        <v>14486</v>
      </c>
      <c r="C3482" t="s">
        <v>3298</v>
      </c>
      <c r="D3482" t="s">
        <v>3299</v>
      </c>
    </row>
    <row r="3483" spans="1:4" x14ac:dyDescent="0.25">
      <c r="A3483" s="2" t="s">
        <v>3311</v>
      </c>
      <c r="B3483" s="1">
        <v>14486</v>
      </c>
      <c r="C3483" t="s">
        <v>3298</v>
      </c>
      <c r="D3483" t="s">
        <v>3299</v>
      </c>
    </row>
    <row r="3484" spans="1:4" x14ac:dyDescent="0.25">
      <c r="A3484" s="2" t="s">
        <v>3312</v>
      </c>
      <c r="B3484" s="1">
        <v>14493</v>
      </c>
      <c r="C3484" t="s">
        <v>3298</v>
      </c>
      <c r="D3484" t="s">
        <v>3299</v>
      </c>
    </row>
    <row r="3485" spans="1:4" x14ac:dyDescent="0.25">
      <c r="A3485" s="2" t="s">
        <v>3313</v>
      </c>
      <c r="B3485" s="1">
        <v>14503</v>
      </c>
      <c r="C3485" t="s">
        <v>3298</v>
      </c>
      <c r="D3485" t="s">
        <v>3299</v>
      </c>
    </row>
    <row r="3486" spans="1:4" x14ac:dyDescent="0.25">
      <c r="A3486" s="2" t="s">
        <v>3314</v>
      </c>
      <c r="B3486" s="1">
        <v>14517</v>
      </c>
      <c r="C3486" t="s">
        <v>3298</v>
      </c>
      <c r="D3486" t="s">
        <v>3299</v>
      </c>
    </row>
    <row r="3487" spans="1:4" x14ac:dyDescent="0.25">
      <c r="A3487" s="2" t="s">
        <v>3315</v>
      </c>
      <c r="B3487" s="1">
        <v>14517</v>
      </c>
      <c r="C3487" t="s">
        <v>3298</v>
      </c>
      <c r="D3487" t="s">
        <v>3299</v>
      </c>
    </row>
    <row r="3488" spans="1:4" x14ac:dyDescent="0.25">
      <c r="A3488" s="2" t="s">
        <v>3316</v>
      </c>
      <c r="B3488" s="1">
        <v>14517</v>
      </c>
      <c r="C3488" t="s">
        <v>3298</v>
      </c>
      <c r="D3488" t="s">
        <v>3299</v>
      </c>
    </row>
    <row r="3489" spans="1:4" x14ac:dyDescent="0.25">
      <c r="A3489" s="2" t="s">
        <v>3317</v>
      </c>
      <c r="B3489" s="1">
        <v>14524</v>
      </c>
      <c r="C3489" t="s">
        <v>3298</v>
      </c>
      <c r="D3489" t="s">
        <v>3299</v>
      </c>
    </row>
    <row r="3490" spans="1:4" x14ac:dyDescent="0.25">
      <c r="A3490" s="2" t="s">
        <v>3318</v>
      </c>
      <c r="B3490" s="1">
        <v>14524</v>
      </c>
      <c r="C3490" t="s">
        <v>3298</v>
      </c>
      <c r="D3490" t="s">
        <v>3299</v>
      </c>
    </row>
    <row r="3491" spans="1:4" x14ac:dyDescent="0.25">
      <c r="A3491" s="2" t="s">
        <v>3319</v>
      </c>
      <c r="B3491" s="1">
        <v>14554</v>
      </c>
      <c r="C3491" t="s">
        <v>3298</v>
      </c>
      <c r="D3491" t="s">
        <v>3299</v>
      </c>
    </row>
    <row r="3492" spans="1:4" x14ac:dyDescent="0.25">
      <c r="A3492" s="2" t="s">
        <v>3320</v>
      </c>
      <c r="B3492" s="1">
        <v>14508</v>
      </c>
      <c r="C3492" t="s">
        <v>3298</v>
      </c>
      <c r="D3492" t="s">
        <v>3299</v>
      </c>
    </row>
    <row r="3493" spans="1:4" x14ac:dyDescent="0.25">
      <c r="A3493" s="2" t="s">
        <v>3321</v>
      </c>
      <c r="B3493" s="1">
        <v>14501</v>
      </c>
      <c r="C3493" t="s">
        <v>3298</v>
      </c>
      <c r="D3493" t="s">
        <v>3299</v>
      </c>
    </row>
    <row r="3494" spans="1:4" x14ac:dyDescent="0.25">
      <c r="A3494" s="2" t="s">
        <v>3322</v>
      </c>
      <c r="B3494" s="1">
        <v>14501</v>
      </c>
      <c r="C3494" t="s">
        <v>3298</v>
      </c>
      <c r="D3494" t="s">
        <v>3299</v>
      </c>
    </row>
    <row r="3495" spans="1:4" x14ac:dyDescent="0.25">
      <c r="A3495" s="2" t="s">
        <v>3323</v>
      </c>
      <c r="B3495" s="1">
        <v>14501</v>
      </c>
      <c r="C3495" t="s">
        <v>3298</v>
      </c>
      <c r="D3495" t="s">
        <v>3299</v>
      </c>
    </row>
    <row r="3496" spans="1:4" x14ac:dyDescent="0.25">
      <c r="A3496" s="2" t="s">
        <v>3324</v>
      </c>
      <c r="B3496" s="1">
        <v>14494</v>
      </c>
      <c r="C3496" t="s">
        <v>3298</v>
      </c>
      <c r="D3496" t="s">
        <v>3299</v>
      </c>
    </row>
    <row r="3497" spans="1:4" x14ac:dyDescent="0.25">
      <c r="A3497" s="2" t="s">
        <v>3325</v>
      </c>
      <c r="B3497" s="1">
        <v>14489</v>
      </c>
      <c r="C3497" t="s">
        <v>3298</v>
      </c>
      <c r="D3497" t="s">
        <v>3299</v>
      </c>
    </row>
    <row r="3498" spans="1:4" x14ac:dyDescent="0.25">
      <c r="A3498" s="2" t="s">
        <v>3326</v>
      </c>
      <c r="B3498" s="1">
        <v>14498</v>
      </c>
      <c r="C3498" t="s">
        <v>3298</v>
      </c>
      <c r="D3498" t="s">
        <v>3299</v>
      </c>
    </row>
    <row r="3499" spans="1:4" x14ac:dyDescent="0.25">
      <c r="A3499" s="2" t="s">
        <v>3327</v>
      </c>
      <c r="B3499" s="1">
        <v>14491</v>
      </c>
      <c r="C3499" t="s">
        <v>3298</v>
      </c>
      <c r="D3499" t="s">
        <v>3299</v>
      </c>
    </row>
    <row r="3500" spans="1:4" x14ac:dyDescent="0.25">
      <c r="A3500" s="2" t="s">
        <v>3328</v>
      </c>
      <c r="B3500" s="1">
        <v>14462</v>
      </c>
      <c r="C3500" t="s">
        <v>3298</v>
      </c>
      <c r="D3500" t="s">
        <v>3299</v>
      </c>
    </row>
    <row r="3501" spans="1:4" x14ac:dyDescent="0.25">
      <c r="A3501" s="2" t="s">
        <v>3329</v>
      </c>
      <c r="B3501" s="1">
        <v>14462</v>
      </c>
      <c r="C3501" t="s">
        <v>3298</v>
      </c>
      <c r="D3501" t="s">
        <v>3299</v>
      </c>
    </row>
    <row r="3502" spans="1:4" x14ac:dyDescent="0.25">
      <c r="A3502" s="2" t="s">
        <v>3330</v>
      </c>
      <c r="B3502" s="1">
        <v>14462</v>
      </c>
      <c r="C3502" t="s">
        <v>3331</v>
      </c>
      <c r="D3502" t="s">
        <v>3299</v>
      </c>
    </row>
    <row r="3503" spans="1:4" x14ac:dyDescent="0.25">
      <c r="A3503" s="2" t="s">
        <v>3332</v>
      </c>
      <c r="B3503" s="1">
        <v>14456</v>
      </c>
      <c r="C3503" t="s">
        <v>3331</v>
      </c>
      <c r="D3503" t="s">
        <v>3299</v>
      </c>
    </row>
    <row r="3504" spans="1:4" x14ac:dyDescent="0.25">
      <c r="A3504" s="2" t="s">
        <v>3333</v>
      </c>
      <c r="B3504" s="1">
        <v>14362</v>
      </c>
      <c r="C3504" t="s">
        <v>3331</v>
      </c>
      <c r="D3504" t="s">
        <v>3299</v>
      </c>
    </row>
    <row r="3505" spans="1:4" x14ac:dyDescent="0.25">
      <c r="A3505" s="2" t="s">
        <v>3334</v>
      </c>
      <c r="B3505" s="1">
        <v>14324</v>
      </c>
      <c r="C3505" t="s">
        <v>3331</v>
      </c>
      <c r="D3505" t="s">
        <v>3299</v>
      </c>
    </row>
    <row r="3506" spans="1:4" x14ac:dyDescent="0.25">
      <c r="A3506" s="2" t="s">
        <v>3335</v>
      </c>
      <c r="B3506" s="1">
        <v>14342</v>
      </c>
      <c r="C3506" t="s">
        <v>3331</v>
      </c>
      <c r="D3506" t="s">
        <v>3299</v>
      </c>
    </row>
    <row r="3507" spans="1:4" x14ac:dyDescent="0.25">
      <c r="A3507" s="2" t="s">
        <v>3336</v>
      </c>
      <c r="B3507" s="1">
        <v>14369</v>
      </c>
      <c r="C3507" t="s">
        <v>3331</v>
      </c>
      <c r="D3507" t="s">
        <v>3299</v>
      </c>
    </row>
    <row r="3508" spans="1:4" x14ac:dyDescent="0.25">
      <c r="A3508" s="2" t="s">
        <v>3337</v>
      </c>
      <c r="B3508" s="1">
        <v>14369</v>
      </c>
      <c r="C3508" t="s">
        <v>3331</v>
      </c>
      <c r="D3508" t="s">
        <v>3299</v>
      </c>
    </row>
    <row r="3509" spans="1:4" x14ac:dyDescent="0.25">
      <c r="A3509" s="2" t="s">
        <v>3338</v>
      </c>
      <c r="B3509" s="1">
        <v>14369</v>
      </c>
      <c r="C3509" t="s">
        <v>3331</v>
      </c>
      <c r="D3509" t="s">
        <v>3299</v>
      </c>
    </row>
    <row r="3510" spans="1:4" x14ac:dyDescent="0.25">
      <c r="A3510" s="2" t="s">
        <v>3339</v>
      </c>
      <c r="B3510" s="1">
        <v>14378</v>
      </c>
      <c r="C3510" t="s">
        <v>3331</v>
      </c>
      <c r="D3510" t="s">
        <v>3299</v>
      </c>
    </row>
    <row r="3511" spans="1:4" x14ac:dyDescent="0.25">
      <c r="A3511" s="2" t="s">
        <v>3340</v>
      </c>
      <c r="B3511" s="1">
        <v>14397</v>
      </c>
      <c r="C3511" t="s">
        <v>3331</v>
      </c>
      <c r="D3511" t="s">
        <v>3299</v>
      </c>
    </row>
    <row r="3512" spans="1:4" x14ac:dyDescent="0.25">
      <c r="A3512" s="2" t="s">
        <v>3341</v>
      </c>
      <c r="B3512" s="1">
        <v>14397</v>
      </c>
      <c r="C3512" t="s">
        <v>3331</v>
      </c>
      <c r="D3512" t="s">
        <v>3299</v>
      </c>
    </row>
    <row r="3513" spans="1:4" x14ac:dyDescent="0.25">
      <c r="A3513" s="2" t="s">
        <v>3342</v>
      </c>
      <c r="B3513" s="1">
        <v>14389</v>
      </c>
      <c r="C3513" t="s">
        <v>3331</v>
      </c>
      <c r="D3513" t="s">
        <v>3299</v>
      </c>
    </row>
    <row r="3514" spans="1:4" x14ac:dyDescent="0.25">
      <c r="A3514" s="2" t="s">
        <v>3343</v>
      </c>
      <c r="B3514" s="1">
        <v>14388</v>
      </c>
      <c r="C3514" t="s">
        <v>3331</v>
      </c>
      <c r="D3514" t="s">
        <v>3299</v>
      </c>
    </row>
    <row r="3515" spans="1:4" x14ac:dyDescent="0.25">
      <c r="A3515" s="2" t="s">
        <v>3344</v>
      </c>
      <c r="B3515" s="1">
        <v>14388</v>
      </c>
      <c r="C3515" t="s">
        <v>3331</v>
      </c>
      <c r="D3515" t="s">
        <v>3299</v>
      </c>
    </row>
    <row r="3516" spans="1:4" x14ac:dyDescent="0.25">
      <c r="A3516" s="2" t="s">
        <v>3345</v>
      </c>
      <c r="B3516" s="1">
        <v>14388</v>
      </c>
      <c r="C3516" t="s">
        <v>3331</v>
      </c>
      <c r="D3516" t="s">
        <v>3299</v>
      </c>
    </row>
    <row r="3517" spans="1:4" x14ac:dyDescent="0.25">
      <c r="A3517" s="2" t="s">
        <v>3346</v>
      </c>
      <c r="B3517" s="1">
        <v>14383</v>
      </c>
      <c r="C3517" t="s">
        <v>3331</v>
      </c>
      <c r="D3517" t="s">
        <v>3299</v>
      </c>
    </row>
    <row r="3518" spans="1:4" x14ac:dyDescent="0.25">
      <c r="A3518" s="2" t="s">
        <v>3347</v>
      </c>
      <c r="B3518" s="1">
        <v>14383</v>
      </c>
      <c r="C3518" t="s">
        <v>3331</v>
      </c>
      <c r="D3518" t="s">
        <v>3299</v>
      </c>
    </row>
    <row r="3519" spans="1:4" x14ac:dyDescent="0.25">
      <c r="A3519" s="2" t="s">
        <v>3348</v>
      </c>
      <c r="B3519" s="1">
        <v>14384</v>
      </c>
      <c r="C3519" t="s">
        <v>3331</v>
      </c>
      <c r="D3519" t="s">
        <v>3299</v>
      </c>
    </row>
    <row r="3520" spans="1:4" x14ac:dyDescent="0.25">
      <c r="A3520" s="2" t="s">
        <v>3349</v>
      </c>
      <c r="B3520" s="1">
        <v>14414</v>
      </c>
      <c r="C3520" t="s">
        <v>3331</v>
      </c>
      <c r="D3520" t="s">
        <v>3299</v>
      </c>
    </row>
    <row r="3521" spans="1:4" x14ac:dyDescent="0.25">
      <c r="A3521" s="2" t="s">
        <v>3350</v>
      </c>
      <c r="B3521" s="1">
        <v>14464</v>
      </c>
      <c r="C3521" t="s">
        <v>3331</v>
      </c>
      <c r="D3521" t="s">
        <v>3299</v>
      </c>
    </row>
    <row r="3522" spans="1:4" x14ac:dyDescent="0.25">
      <c r="A3522" s="2" t="s">
        <v>3351</v>
      </c>
      <c r="B3522" s="1">
        <v>14464</v>
      </c>
      <c r="C3522" t="s">
        <v>3331</v>
      </c>
      <c r="D3522" t="s">
        <v>3299</v>
      </c>
    </row>
    <row r="3523" spans="1:4" x14ac:dyDescent="0.25">
      <c r="A3523" s="2" t="s">
        <v>3352</v>
      </c>
      <c r="B3523" s="1">
        <v>14464</v>
      </c>
      <c r="C3523" t="s">
        <v>3331</v>
      </c>
      <c r="D3523" t="s">
        <v>3299</v>
      </c>
    </row>
    <row r="3524" spans="1:4" x14ac:dyDescent="0.25">
      <c r="A3524" s="2" t="s">
        <v>3353</v>
      </c>
      <c r="B3524" s="1">
        <v>14415</v>
      </c>
      <c r="C3524" t="s">
        <v>3331</v>
      </c>
      <c r="D3524" t="s">
        <v>3299</v>
      </c>
    </row>
    <row r="3525" spans="1:4" x14ac:dyDescent="0.25">
      <c r="A3525" s="2" t="s">
        <v>3354</v>
      </c>
      <c r="B3525" s="1">
        <v>14391</v>
      </c>
      <c r="C3525" t="s">
        <v>3331</v>
      </c>
      <c r="D3525" t="s">
        <v>3299</v>
      </c>
    </row>
    <row r="3526" spans="1:4" x14ac:dyDescent="0.25">
      <c r="A3526" s="2" t="s">
        <v>3355</v>
      </c>
      <c r="B3526" s="1">
        <v>14408</v>
      </c>
      <c r="C3526" t="s">
        <v>3331</v>
      </c>
      <c r="D3526" t="s">
        <v>3299</v>
      </c>
    </row>
    <row r="3527" spans="1:4" x14ac:dyDescent="0.25">
      <c r="A3527" s="2" t="s">
        <v>3356</v>
      </c>
      <c r="B3527" s="1">
        <v>14423</v>
      </c>
      <c r="C3527" t="s">
        <v>3331</v>
      </c>
      <c r="D3527" t="s">
        <v>3299</v>
      </c>
    </row>
    <row r="3528" spans="1:4" x14ac:dyDescent="0.25">
      <c r="A3528" s="2" t="s">
        <v>3357</v>
      </c>
      <c r="B3528" s="1">
        <v>14431</v>
      </c>
      <c r="C3528" t="s">
        <v>3331</v>
      </c>
      <c r="D3528" t="s">
        <v>3299</v>
      </c>
    </row>
    <row r="3529" spans="1:4" x14ac:dyDescent="0.25">
      <c r="A3529" s="2" t="s">
        <v>3358</v>
      </c>
      <c r="B3529" s="1">
        <v>14431</v>
      </c>
      <c r="C3529" t="s">
        <v>3331</v>
      </c>
      <c r="D3529" t="s">
        <v>3299</v>
      </c>
    </row>
    <row r="3530" spans="1:4" x14ac:dyDescent="0.25">
      <c r="A3530" s="2" t="s">
        <v>3359</v>
      </c>
      <c r="B3530" s="1">
        <v>14431</v>
      </c>
      <c r="C3530" t="s">
        <v>3331</v>
      </c>
      <c r="D3530" t="s">
        <v>3299</v>
      </c>
    </row>
    <row r="3531" spans="1:4" x14ac:dyDescent="0.25">
      <c r="A3531" s="2" t="s">
        <v>3360</v>
      </c>
      <c r="B3531" s="1">
        <v>14374</v>
      </c>
      <c r="C3531" t="s">
        <v>3331</v>
      </c>
      <c r="D3531" t="s">
        <v>3299</v>
      </c>
    </row>
    <row r="3532" spans="1:4" x14ac:dyDescent="0.25">
      <c r="A3532" s="2" t="s">
        <v>3361</v>
      </c>
      <c r="B3532" s="1">
        <v>14306</v>
      </c>
      <c r="C3532" t="s">
        <v>3331</v>
      </c>
      <c r="D3532" t="s">
        <v>3299</v>
      </c>
    </row>
    <row r="3533" spans="1:4" x14ac:dyDescent="0.25">
      <c r="A3533" s="2" t="s">
        <v>3362</v>
      </c>
      <c r="B3533" s="1">
        <v>14284</v>
      </c>
      <c r="C3533" t="s">
        <v>3363</v>
      </c>
      <c r="D3533" t="s">
        <v>3299</v>
      </c>
    </row>
    <row r="3534" spans="1:4" x14ac:dyDescent="0.25">
      <c r="A3534" s="2" t="s">
        <v>3364</v>
      </c>
      <c r="B3534" s="1">
        <v>14281</v>
      </c>
      <c r="C3534" t="s">
        <v>3363</v>
      </c>
      <c r="D3534" t="s">
        <v>3299</v>
      </c>
    </row>
    <row r="3535" spans="1:4" x14ac:dyDescent="0.25">
      <c r="A3535" s="2" t="s">
        <v>3365</v>
      </c>
      <c r="B3535" s="1">
        <v>14261</v>
      </c>
      <c r="C3535" t="s">
        <v>3363</v>
      </c>
      <c r="D3535" t="s">
        <v>3299</v>
      </c>
    </row>
    <row r="3536" spans="1:4" x14ac:dyDescent="0.25">
      <c r="A3536" s="2" t="s">
        <v>3366</v>
      </c>
      <c r="B3536" s="1">
        <v>14261</v>
      </c>
      <c r="C3536" t="s">
        <v>3363</v>
      </c>
      <c r="D3536" t="s">
        <v>3299</v>
      </c>
    </row>
    <row r="3537" spans="1:4" x14ac:dyDescent="0.25">
      <c r="A3537" s="2" t="s">
        <v>3367</v>
      </c>
      <c r="B3537" s="1">
        <v>14261</v>
      </c>
      <c r="C3537" t="s">
        <v>3363</v>
      </c>
      <c r="D3537" t="s">
        <v>3299</v>
      </c>
    </row>
    <row r="3538" spans="1:4" x14ac:dyDescent="0.25">
      <c r="A3538" s="2" t="s">
        <v>3368</v>
      </c>
      <c r="B3538" s="1">
        <v>14239</v>
      </c>
      <c r="C3538" t="s">
        <v>3363</v>
      </c>
      <c r="D3538" t="s">
        <v>3299</v>
      </c>
    </row>
    <row r="3539" spans="1:4" x14ac:dyDescent="0.25">
      <c r="A3539" s="2" t="s">
        <v>3369</v>
      </c>
      <c r="B3539" s="1">
        <v>14195</v>
      </c>
      <c r="C3539" t="s">
        <v>3363</v>
      </c>
      <c r="D3539" t="s">
        <v>3299</v>
      </c>
    </row>
    <row r="3540" spans="1:4" x14ac:dyDescent="0.25">
      <c r="A3540" s="2" t="s">
        <v>3370</v>
      </c>
      <c r="B3540" s="1">
        <v>14266</v>
      </c>
      <c r="C3540" t="s">
        <v>3363</v>
      </c>
      <c r="D3540" t="s">
        <v>3299</v>
      </c>
    </row>
    <row r="3541" spans="1:4" x14ac:dyDescent="0.25">
      <c r="A3541" s="2" t="s">
        <v>3371</v>
      </c>
      <c r="B3541" s="1">
        <v>14272</v>
      </c>
      <c r="C3541" t="s">
        <v>3363</v>
      </c>
      <c r="D3541" t="s">
        <v>3299</v>
      </c>
    </row>
    <row r="3542" spans="1:4" x14ac:dyDescent="0.25">
      <c r="A3542" s="2" t="s">
        <v>3372</v>
      </c>
      <c r="B3542" s="1">
        <v>14225</v>
      </c>
      <c r="C3542" t="s">
        <v>3363</v>
      </c>
      <c r="D3542" t="s">
        <v>3299</v>
      </c>
    </row>
    <row r="3543" spans="1:4" x14ac:dyDescent="0.25">
      <c r="A3543" s="2" t="s">
        <v>3373</v>
      </c>
      <c r="B3543" s="1">
        <v>14225</v>
      </c>
      <c r="C3543" t="s">
        <v>3363</v>
      </c>
      <c r="D3543" t="s">
        <v>3299</v>
      </c>
    </row>
    <row r="3544" spans="1:4" x14ac:dyDescent="0.25">
      <c r="A3544" s="2" t="s">
        <v>3374</v>
      </c>
      <c r="B3544" s="1">
        <v>14225</v>
      </c>
      <c r="C3544" t="s">
        <v>3363</v>
      </c>
      <c r="D3544" t="s">
        <v>3299</v>
      </c>
    </row>
    <row r="3545" spans="1:4" x14ac:dyDescent="0.25">
      <c r="A3545" s="2" t="s">
        <v>3375</v>
      </c>
      <c r="B3545" s="1">
        <v>14260</v>
      </c>
      <c r="C3545" t="s">
        <v>3363</v>
      </c>
      <c r="D3545" t="s">
        <v>3299</v>
      </c>
    </row>
    <row r="3546" spans="1:4" x14ac:dyDescent="0.25">
      <c r="A3546" s="2" t="s">
        <v>3376</v>
      </c>
      <c r="B3546" s="1">
        <v>14257</v>
      </c>
      <c r="C3546" t="s">
        <v>3363</v>
      </c>
      <c r="D3546" t="s">
        <v>3299</v>
      </c>
    </row>
    <row r="3547" spans="1:4" x14ac:dyDescent="0.25">
      <c r="A3547" s="2" t="s">
        <v>3377</v>
      </c>
      <c r="B3547" s="1">
        <v>14252</v>
      </c>
      <c r="C3547" t="s">
        <v>3363</v>
      </c>
      <c r="D3547" t="s">
        <v>3299</v>
      </c>
    </row>
    <row r="3548" spans="1:4" x14ac:dyDescent="0.25">
      <c r="A3548" s="2" t="s">
        <v>3378</v>
      </c>
      <c r="B3548" s="1">
        <v>14238</v>
      </c>
      <c r="C3548" t="s">
        <v>3363</v>
      </c>
      <c r="D3548" t="s">
        <v>3299</v>
      </c>
    </row>
    <row r="3549" spans="1:4" x14ac:dyDescent="0.25">
      <c r="A3549" s="2" t="s">
        <v>3379</v>
      </c>
      <c r="B3549" s="1">
        <v>14233</v>
      </c>
      <c r="C3549" t="s">
        <v>3363</v>
      </c>
      <c r="D3549" t="s">
        <v>3299</v>
      </c>
    </row>
    <row r="3550" spans="1:4" x14ac:dyDescent="0.25">
      <c r="A3550" s="2" t="s">
        <v>3380</v>
      </c>
      <c r="B3550" s="1">
        <v>14233</v>
      </c>
      <c r="C3550" t="s">
        <v>3363</v>
      </c>
      <c r="D3550" t="s">
        <v>3299</v>
      </c>
    </row>
    <row r="3551" spans="1:4" x14ac:dyDescent="0.25">
      <c r="A3551" s="2" t="s">
        <v>3381</v>
      </c>
      <c r="B3551" s="1">
        <v>14233</v>
      </c>
      <c r="C3551" t="s">
        <v>3363</v>
      </c>
      <c r="D3551" t="s">
        <v>3299</v>
      </c>
    </row>
    <row r="3552" spans="1:4" x14ac:dyDescent="0.25">
      <c r="A3552" s="2" t="s">
        <v>3382</v>
      </c>
      <c r="B3552" s="1">
        <v>14251</v>
      </c>
      <c r="C3552" t="s">
        <v>3363</v>
      </c>
      <c r="D3552" t="s">
        <v>3299</v>
      </c>
    </row>
    <row r="3553" spans="1:4" x14ac:dyDescent="0.25">
      <c r="A3553" s="2" t="s">
        <v>3383</v>
      </c>
      <c r="B3553" s="1">
        <v>14244</v>
      </c>
      <c r="C3553" t="s">
        <v>3363</v>
      </c>
      <c r="D3553" t="s">
        <v>3299</v>
      </c>
    </row>
    <row r="3554" spans="1:4" x14ac:dyDescent="0.25">
      <c r="A3554" s="2" t="s">
        <v>3384</v>
      </c>
      <c r="B3554" s="1">
        <v>14249</v>
      </c>
      <c r="C3554" t="s">
        <v>3363</v>
      </c>
      <c r="D3554" t="s">
        <v>3299</v>
      </c>
    </row>
    <row r="3555" spans="1:4" x14ac:dyDescent="0.25">
      <c r="A3555" s="2" t="s">
        <v>3385</v>
      </c>
      <c r="B3555" s="1">
        <v>14256</v>
      </c>
      <c r="C3555" t="s">
        <v>3363</v>
      </c>
      <c r="D3555" t="s">
        <v>3299</v>
      </c>
    </row>
    <row r="3556" spans="1:4" x14ac:dyDescent="0.25">
      <c r="A3556" s="2" t="s">
        <v>3386</v>
      </c>
      <c r="B3556" s="1">
        <v>14250</v>
      </c>
      <c r="C3556" t="s">
        <v>3363</v>
      </c>
      <c r="D3556" t="s">
        <v>3299</v>
      </c>
    </row>
    <row r="3557" spans="1:4" x14ac:dyDescent="0.25">
      <c r="A3557" s="2" t="s">
        <v>3387</v>
      </c>
      <c r="B3557" s="1">
        <v>14250</v>
      </c>
      <c r="C3557" t="s">
        <v>3363</v>
      </c>
      <c r="D3557" t="s">
        <v>3299</v>
      </c>
    </row>
    <row r="3558" spans="1:4" x14ac:dyDescent="0.25">
      <c r="A3558" s="2" t="s">
        <v>3388</v>
      </c>
      <c r="B3558" s="1">
        <v>14250</v>
      </c>
      <c r="C3558" t="s">
        <v>3363</v>
      </c>
      <c r="D3558" t="s">
        <v>3299</v>
      </c>
    </row>
    <row r="3559" spans="1:4" x14ac:dyDescent="0.25">
      <c r="A3559" s="2" t="s">
        <v>3389</v>
      </c>
      <c r="B3559" s="1">
        <v>14258</v>
      </c>
      <c r="C3559" t="s">
        <v>3363</v>
      </c>
      <c r="D3559" t="s">
        <v>3299</v>
      </c>
    </row>
    <row r="3560" spans="1:4" x14ac:dyDescent="0.25">
      <c r="A3560" s="2" t="s">
        <v>3390</v>
      </c>
      <c r="B3560" s="1">
        <v>14269</v>
      </c>
      <c r="C3560" t="s">
        <v>3363</v>
      </c>
      <c r="D3560" t="s">
        <v>3299</v>
      </c>
    </row>
    <row r="3561" spans="1:4" x14ac:dyDescent="0.25">
      <c r="A3561" s="2" t="s">
        <v>3391</v>
      </c>
      <c r="B3561" s="1">
        <v>14307</v>
      </c>
      <c r="C3561" t="s">
        <v>3363</v>
      </c>
      <c r="D3561" t="s">
        <v>3299</v>
      </c>
    </row>
    <row r="3562" spans="1:4" x14ac:dyDescent="0.25">
      <c r="A3562" s="2" t="s">
        <v>3392</v>
      </c>
      <c r="B3562" s="1">
        <v>14321</v>
      </c>
      <c r="C3562" t="s">
        <v>3363</v>
      </c>
      <c r="D3562" t="s">
        <v>3299</v>
      </c>
    </row>
    <row r="3563" spans="1:4" x14ac:dyDescent="0.25">
      <c r="A3563" s="2" t="s">
        <v>3393</v>
      </c>
      <c r="B3563" s="1">
        <v>14315</v>
      </c>
      <c r="C3563" t="s">
        <v>3394</v>
      </c>
      <c r="D3563" t="s">
        <v>3395</v>
      </c>
    </row>
    <row r="3564" spans="1:4" x14ac:dyDescent="0.25">
      <c r="A3564" s="2" t="s">
        <v>3396</v>
      </c>
      <c r="B3564" s="1">
        <v>14315</v>
      </c>
      <c r="C3564" t="s">
        <v>3394</v>
      </c>
      <c r="D3564" t="s">
        <v>3395</v>
      </c>
    </row>
    <row r="3565" spans="1:4" x14ac:dyDescent="0.25">
      <c r="A3565" s="2" t="s">
        <v>3397</v>
      </c>
      <c r="B3565" s="1">
        <v>14315</v>
      </c>
      <c r="C3565" t="s">
        <v>3394</v>
      </c>
      <c r="D3565" t="s">
        <v>3395</v>
      </c>
    </row>
    <row r="3566" spans="1:4" x14ac:dyDescent="0.25">
      <c r="A3566" s="2" t="s">
        <v>3398</v>
      </c>
      <c r="B3566" s="1">
        <v>14276</v>
      </c>
      <c r="C3566" t="s">
        <v>3394</v>
      </c>
      <c r="D3566" t="s">
        <v>3395</v>
      </c>
    </row>
    <row r="3567" spans="1:4" x14ac:dyDescent="0.25">
      <c r="A3567" s="2" t="s">
        <v>3399</v>
      </c>
      <c r="B3567" s="1">
        <v>14260</v>
      </c>
      <c r="C3567" t="s">
        <v>3394</v>
      </c>
      <c r="D3567" t="s">
        <v>3395</v>
      </c>
    </row>
    <row r="3568" spans="1:4" x14ac:dyDescent="0.25">
      <c r="A3568" s="2" t="s">
        <v>3400</v>
      </c>
      <c r="B3568" s="1">
        <v>14245</v>
      </c>
      <c r="C3568" t="s">
        <v>3394</v>
      </c>
      <c r="D3568" t="s">
        <v>3395</v>
      </c>
    </row>
    <row r="3569" spans="1:4" x14ac:dyDescent="0.25">
      <c r="A3569" s="2" t="s">
        <v>3401</v>
      </c>
      <c r="B3569" s="1">
        <v>14238</v>
      </c>
      <c r="C3569" t="s">
        <v>3394</v>
      </c>
      <c r="D3569" t="s">
        <v>3395</v>
      </c>
    </row>
    <row r="3570" spans="1:4" x14ac:dyDescent="0.25">
      <c r="A3570" s="2" t="s">
        <v>3402</v>
      </c>
      <c r="B3570" s="1">
        <v>14225</v>
      </c>
      <c r="C3570" t="s">
        <v>3394</v>
      </c>
      <c r="D3570" t="s">
        <v>3395</v>
      </c>
    </row>
    <row r="3571" spans="1:4" x14ac:dyDescent="0.25">
      <c r="A3571" s="2" t="s">
        <v>3403</v>
      </c>
      <c r="B3571" s="1">
        <v>14225</v>
      </c>
      <c r="C3571" t="s">
        <v>3394</v>
      </c>
      <c r="D3571" t="s">
        <v>3395</v>
      </c>
    </row>
    <row r="3572" spans="1:4" x14ac:dyDescent="0.25">
      <c r="A3572" s="2" t="s">
        <v>3404</v>
      </c>
      <c r="B3572" s="1">
        <v>14225</v>
      </c>
      <c r="C3572" t="s">
        <v>3394</v>
      </c>
      <c r="D3572" t="s">
        <v>3395</v>
      </c>
    </row>
    <row r="3573" spans="1:4" x14ac:dyDescent="0.25">
      <c r="A3573" s="2" t="s">
        <v>3405</v>
      </c>
      <c r="B3573" s="1">
        <v>14210</v>
      </c>
      <c r="C3573" t="s">
        <v>3394</v>
      </c>
      <c r="D3573" t="s">
        <v>3395</v>
      </c>
    </row>
    <row r="3574" spans="1:4" x14ac:dyDescent="0.25">
      <c r="A3574" s="2" t="s">
        <v>3406</v>
      </c>
      <c r="B3574" s="1">
        <v>14217</v>
      </c>
      <c r="C3574" t="s">
        <v>3394</v>
      </c>
      <c r="D3574" t="s">
        <v>3395</v>
      </c>
    </row>
    <row r="3575" spans="1:4" x14ac:dyDescent="0.25">
      <c r="A3575" s="2" t="s">
        <v>3407</v>
      </c>
      <c r="B3575" s="1">
        <v>14221</v>
      </c>
      <c r="C3575" t="s">
        <v>3394</v>
      </c>
      <c r="D3575" t="s">
        <v>3395</v>
      </c>
    </row>
    <row r="3576" spans="1:4" x14ac:dyDescent="0.25">
      <c r="A3576" s="2" t="s">
        <v>3408</v>
      </c>
      <c r="B3576" s="1">
        <v>14155</v>
      </c>
      <c r="C3576" t="s">
        <v>3394</v>
      </c>
      <c r="D3576" t="s">
        <v>3395</v>
      </c>
    </row>
    <row r="3577" spans="1:4" x14ac:dyDescent="0.25">
      <c r="A3577" s="2" t="s">
        <v>3409</v>
      </c>
      <c r="B3577" s="1">
        <v>14084</v>
      </c>
      <c r="C3577" t="s">
        <v>3394</v>
      </c>
      <c r="D3577" t="s">
        <v>3395</v>
      </c>
    </row>
    <row r="3578" spans="1:4" x14ac:dyDescent="0.25">
      <c r="A3578" s="2" t="s">
        <v>3410</v>
      </c>
      <c r="B3578" s="1">
        <v>14084</v>
      </c>
      <c r="C3578" t="s">
        <v>3394</v>
      </c>
      <c r="D3578" t="s">
        <v>3395</v>
      </c>
    </row>
    <row r="3579" spans="1:4" x14ac:dyDescent="0.25">
      <c r="A3579" s="2" t="s">
        <v>3411</v>
      </c>
      <c r="B3579" s="1">
        <v>14084</v>
      </c>
      <c r="C3579" t="s">
        <v>3394</v>
      </c>
      <c r="D3579" t="s">
        <v>3395</v>
      </c>
    </row>
    <row r="3580" spans="1:4" x14ac:dyDescent="0.25">
      <c r="A3580" s="2" t="s">
        <v>3412</v>
      </c>
      <c r="B3580" s="1">
        <v>14096</v>
      </c>
      <c r="C3580" t="s">
        <v>3394</v>
      </c>
      <c r="D3580" t="s">
        <v>3395</v>
      </c>
    </row>
    <row r="3581" spans="1:4" x14ac:dyDescent="0.25">
      <c r="A3581" s="2" t="s">
        <v>3413</v>
      </c>
      <c r="B3581" s="1">
        <v>14080</v>
      </c>
      <c r="C3581" t="s">
        <v>3394</v>
      </c>
      <c r="D3581" t="s">
        <v>3395</v>
      </c>
    </row>
    <row r="3582" spans="1:4" x14ac:dyDescent="0.25">
      <c r="A3582" s="2" t="s">
        <v>3414</v>
      </c>
      <c r="B3582" s="1">
        <v>14080</v>
      </c>
      <c r="C3582" t="s">
        <v>3394</v>
      </c>
      <c r="D3582" t="s">
        <v>3395</v>
      </c>
    </row>
    <row r="3583" spans="1:4" x14ac:dyDescent="0.25">
      <c r="A3583" s="2" t="s">
        <v>3415</v>
      </c>
      <c r="B3583" s="1">
        <v>14133</v>
      </c>
      <c r="C3583" t="s">
        <v>3394</v>
      </c>
      <c r="D3583" t="s">
        <v>3395</v>
      </c>
    </row>
    <row r="3584" spans="1:4" x14ac:dyDescent="0.25">
      <c r="A3584" s="2" t="s">
        <v>3416</v>
      </c>
      <c r="B3584" s="1">
        <v>14162</v>
      </c>
      <c r="C3584" t="s">
        <v>3394</v>
      </c>
      <c r="D3584" t="s">
        <v>3395</v>
      </c>
    </row>
    <row r="3585" spans="1:4" x14ac:dyDescent="0.25">
      <c r="A3585" s="2" t="s">
        <v>3417</v>
      </c>
      <c r="B3585" s="1">
        <v>14162</v>
      </c>
      <c r="C3585" t="s">
        <v>3394</v>
      </c>
      <c r="D3585" t="s">
        <v>3395</v>
      </c>
    </row>
    <row r="3586" spans="1:4" x14ac:dyDescent="0.25">
      <c r="A3586" s="2" t="s">
        <v>3418</v>
      </c>
      <c r="B3586" s="1">
        <v>14162</v>
      </c>
      <c r="C3586" t="s">
        <v>3394</v>
      </c>
      <c r="D3586" t="s">
        <v>3395</v>
      </c>
    </row>
    <row r="3587" spans="1:4" x14ac:dyDescent="0.25">
      <c r="A3587" s="2" t="s">
        <v>3419</v>
      </c>
      <c r="B3587" s="1">
        <v>14183</v>
      </c>
      <c r="C3587" t="s">
        <v>3394</v>
      </c>
      <c r="D3587" t="s">
        <v>3395</v>
      </c>
    </row>
    <row r="3588" spans="1:4" x14ac:dyDescent="0.25">
      <c r="A3588" s="2" t="s">
        <v>3420</v>
      </c>
      <c r="B3588" s="1">
        <v>14165</v>
      </c>
      <c r="C3588" t="s">
        <v>3394</v>
      </c>
      <c r="D3588" t="s">
        <v>3395</v>
      </c>
    </row>
    <row r="3589" spans="1:4" x14ac:dyDescent="0.25">
      <c r="A3589" s="2" t="s">
        <v>3421</v>
      </c>
      <c r="B3589" s="1">
        <v>14184</v>
      </c>
      <c r="C3589" t="s">
        <v>3394</v>
      </c>
      <c r="D3589" t="s">
        <v>3395</v>
      </c>
    </row>
    <row r="3590" spans="1:4" x14ac:dyDescent="0.25">
      <c r="A3590" s="2" t="s">
        <v>3422</v>
      </c>
      <c r="B3590" s="1">
        <v>14199</v>
      </c>
      <c r="C3590" t="s">
        <v>3394</v>
      </c>
      <c r="D3590" t="s">
        <v>3395</v>
      </c>
    </row>
    <row r="3591" spans="1:4" x14ac:dyDescent="0.25">
      <c r="A3591" s="2" t="s">
        <v>3423</v>
      </c>
      <c r="B3591" s="1">
        <v>14171</v>
      </c>
      <c r="C3591" t="s">
        <v>3394</v>
      </c>
      <c r="D3591" t="s">
        <v>3395</v>
      </c>
    </row>
    <row r="3592" spans="1:4" x14ac:dyDescent="0.25">
      <c r="A3592" s="2" t="s">
        <v>3424</v>
      </c>
      <c r="B3592" s="1">
        <v>14171</v>
      </c>
      <c r="C3592" t="s">
        <v>3394</v>
      </c>
      <c r="D3592" t="s">
        <v>3395</v>
      </c>
    </row>
    <row r="3593" spans="1:4" x14ac:dyDescent="0.25">
      <c r="A3593" s="2" t="s">
        <v>3425</v>
      </c>
      <c r="B3593" s="1">
        <v>14171</v>
      </c>
      <c r="C3593" t="s">
        <v>3394</v>
      </c>
      <c r="D3593" t="s">
        <v>3395</v>
      </c>
    </row>
    <row r="3594" spans="1:4" x14ac:dyDescent="0.25">
      <c r="A3594" s="2" t="s">
        <v>3426</v>
      </c>
      <c r="B3594" s="1">
        <v>14235</v>
      </c>
      <c r="C3594" t="s">
        <v>3427</v>
      </c>
      <c r="D3594" t="s">
        <v>3395</v>
      </c>
    </row>
    <row r="3595" spans="1:4" x14ac:dyDescent="0.25">
      <c r="A3595" s="2" t="s">
        <v>3428</v>
      </c>
      <c r="B3595" s="1">
        <v>14261</v>
      </c>
      <c r="C3595" t="s">
        <v>3427</v>
      </c>
      <c r="D3595" t="s">
        <v>3395</v>
      </c>
    </row>
    <row r="3596" spans="1:4" x14ac:dyDescent="0.25">
      <c r="A3596" s="2" t="s">
        <v>3429</v>
      </c>
      <c r="B3596" s="1">
        <v>14301</v>
      </c>
      <c r="C3596" t="s">
        <v>3427</v>
      </c>
      <c r="D3596" t="s">
        <v>3395</v>
      </c>
    </row>
    <row r="3597" spans="1:4" x14ac:dyDescent="0.25">
      <c r="A3597" s="2" t="s">
        <v>3430</v>
      </c>
      <c r="B3597" s="1">
        <v>14327</v>
      </c>
      <c r="C3597" t="s">
        <v>3427</v>
      </c>
      <c r="D3597" t="s">
        <v>3395</v>
      </c>
    </row>
    <row r="3598" spans="1:4" x14ac:dyDescent="0.25">
      <c r="A3598" s="2" t="s">
        <v>3431</v>
      </c>
      <c r="B3598" s="1">
        <v>14374</v>
      </c>
      <c r="C3598" t="s">
        <v>3427</v>
      </c>
      <c r="D3598" t="s">
        <v>3395</v>
      </c>
    </row>
    <row r="3599" spans="1:4" x14ac:dyDescent="0.25">
      <c r="A3599" s="2" t="s">
        <v>3432</v>
      </c>
      <c r="B3599" s="1">
        <v>14374</v>
      </c>
      <c r="C3599" t="s">
        <v>3427</v>
      </c>
      <c r="D3599" t="s">
        <v>3395</v>
      </c>
    </row>
    <row r="3600" spans="1:4" x14ac:dyDescent="0.25">
      <c r="A3600" s="2" t="s">
        <v>3433</v>
      </c>
      <c r="B3600" s="1">
        <v>14374</v>
      </c>
      <c r="C3600" t="s">
        <v>3427</v>
      </c>
      <c r="D3600" t="s">
        <v>3395</v>
      </c>
    </row>
    <row r="3601" spans="1:4" x14ac:dyDescent="0.25">
      <c r="A3601" s="2" t="s">
        <v>3434</v>
      </c>
      <c r="B3601" s="1">
        <v>14268</v>
      </c>
      <c r="C3601" t="s">
        <v>3427</v>
      </c>
      <c r="D3601" t="s">
        <v>3395</v>
      </c>
    </row>
    <row r="3602" spans="1:4" x14ac:dyDescent="0.25">
      <c r="A3602" s="2" t="s">
        <v>3435</v>
      </c>
      <c r="B3602" s="1">
        <v>14233</v>
      </c>
      <c r="C3602" t="s">
        <v>3427</v>
      </c>
      <c r="D3602" t="s">
        <v>3395</v>
      </c>
    </row>
    <row r="3603" spans="1:4" x14ac:dyDescent="0.25">
      <c r="A3603" s="2" t="s">
        <v>3436</v>
      </c>
      <c r="B3603" s="1">
        <v>14253</v>
      </c>
      <c r="C3603" t="s">
        <v>3427</v>
      </c>
      <c r="D3603" t="s">
        <v>3395</v>
      </c>
    </row>
    <row r="3604" spans="1:4" x14ac:dyDescent="0.25">
      <c r="A3604" s="2" t="s">
        <v>3437</v>
      </c>
      <c r="B3604" s="1">
        <v>14288</v>
      </c>
      <c r="C3604" t="s">
        <v>3427</v>
      </c>
      <c r="D3604" t="s">
        <v>3395</v>
      </c>
    </row>
    <row r="3605" spans="1:4" x14ac:dyDescent="0.25">
      <c r="A3605" s="2" t="s">
        <v>3438</v>
      </c>
      <c r="B3605" s="1">
        <v>14243</v>
      </c>
      <c r="C3605" t="s">
        <v>3427</v>
      </c>
      <c r="D3605" t="s">
        <v>3395</v>
      </c>
    </row>
    <row r="3606" spans="1:4" x14ac:dyDescent="0.25">
      <c r="A3606" s="2" t="s">
        <v>3439</v>
      </c>
      <c r="B3606" s="1">
        <v>14243</v>
      </c>
      <c r="C3606" t="s">
        <v>3427</v>
      </c>
      <c r="D3606" t="s">
        <v>3395</v>
      </c>
    </row>
    <row r="3607" spans="1:4" x14ac:dyDescent="0.25">
      <c r="A3607" s="2" t="s">
        <v>3440</v>
      </c>
      <c r="B3607" s="1">
        <v>14243</v>
      </c>
      <c r="C3607" t="s">
        <v>3427</v>
      </c>
      <c r="D3607" t="s">
        <v>3395</v>
      </c>
    </row>
    <row r="3608" spans="1:4" x14ac:dyDescent="0.25">
      <c r="A3608" s="2" t="s">
        <v>3441</v>
      </c>
      <c r="B3608" s="1">
        <v>14206</v>
      </c>
      <c r="C3608" t="s">
        <v>3427</v>
      </c>
      <c r="D3608" t="s">
        <v>3395</v>
      </c>
    </row>
    <row r="3609" spans="1:4" x14ac:dyDescent="0.25">
      <c r="A3609" s="2" t="s">
        <v>3442</v>
      </c>
      <c r="B3609" s="1">
        <v>14211</v>
      </c>
      <c r="C3609" t="s">
        <v>3427</v>
      </c>
      <c r="D3609" t="s">
        <v>3395</v>
      </c>
    </row>
    <row r="3610" spans="1:4" x14ac:dyDescent="0.25">
      <c r="A3610" s="2" t="s">
        <v>3443</v>
      </c>
      <c r="B3610" s="1">
        <v>14259</v>
      </c>
      <c r="C3610" t="s">
        <v>3427</v>
      </c>
      <c r="D3610" t="s">
        <v>3395</v>
      </c>
    </row>
    <row r="3611" spans="1:4" x14ac:dyDescent="0.25">
      <c r="A3611" s="2" t="s">
        <v>3444</v>
      </c>
      <c r="B3611" s="1">
        <v>14231</v>
      </c>
      <c r="C3611" t="s">
        <v>3427</v>
      </c>
      <c r="D3611" t="s">
        <v>3395</v>
      </c>
    </row>
    <row r="3612" spans="1:4" x14ac:dyDescent="0.25">
      <c r="A3612" s="2" t="s">
        <v>3445</v>
      </c>
      <c r="B3612" s="1">
        <v>14237</v>
      </c>
      <c r="C3612" t="s">
        <v>3427</v>
      </c>
      <c r="D3612" t="s">
        <v>3395</v>
      </c>
    </row>
    <row r="3613" spans="1:4" x14ac:dyDescent="0.25">
      <c r="A3613" s="2" t="s">
        <v>3446</v>
      </c>
      <c r="B3613" s="1">
        <v>14237</v>
      </c>
      <c r="C3613" t="s">
        <v>3427</v>
      </c>
      <c r="D3613" t="s">
        <v>3395</v>
      </c>
    </row>
    <row r="3614" spans="1:4" x14ac:dyDescent="0.25">
      <c r="A3614" s="2" t="s">
        <v>3447</v>
      </c>
      <c r="B3614" s="1">
        <v>14237</v>
      </c>
      <c r="C3614" t="s">
        <v>3427</v>
      </c>
      <c r="D3614" t="s">
        <v>3395</v>
      </c>
    </row>
    <row r="3615" spans="1:4" x14ac:dyDescent="0.25">
      <c r="A3615" s="2" t="s">
        <v>3448</v>
      </c>
      <c r="B3615" s="1">
        <v>14255</v>
      </c>
      <c r="C3615" t="s">
        <v>3427</v>
      </c>
      <c r="D3615" t="s">
        <v>3395</v>
      </c>
    </row>
    <row r="3616" spans="1:4" x14ac:dyDescent="0.25">
      <c r="A3616" s="2" t="s">
        <v>3449</v>
      </c>
      <c r="B3616" s="1">
        <v>14272</v>
      </c>
      <c r="C3616" t="s">
        <v>3427</v>
      </c>
      <c r="D3616" t="s">
        <v>3395</v>
      </c>
    </row>
    <row r="3617" spans="1:4" x14ac:dyDescent="0.25">
      <c r="A3617" s="2" t="s">
        <v>3450</v>
      </c>
      <c r="B3617" s="1">
        <v>14272</v>
      </c>
      <c r="C3617" t="s">
        <v>3427</v>
      </c>
      <c r="D3617" t="s">
        <v>3395</v>
      </c>
    </row>
    <row r="3618" spans="1:4" x14ac:dyDescent="0.25">
      <c r="A3618" s="2" t="s">
        <v>3451</v>
      </c>
      <c r="B3618" s="1">
        <v>14280</v>
      </c>
      <c r="C3618" t="s">
        <v>3427</v>
      </c>
      <c r="D3618" t="s">
        <v>3395</v>
      </c>
    </row>
    <row r="3619" spans="1:4" x14ac:dyDescent="0.25">
      <c r="A3619" s="2" t="s">
        <v>3452</v>
      </c>
      <c r="B3619" s="1">
        <v>14280</v>
      </c>
      <c r="C3619" t="s">
        <v>3427</v>
      </c>
      <c r="D3619" t="s">
        <v>3395</v>
      </c>
    </row>
    <row r="3620" spans="1:4" x14ac:dyDescent="0.25">
      <c r="A3620" s="2" t="s">
        <v>3453</v>
      </c>
      <c r="B3620" s="1">
        <v>14280</v>
      </c>
      <c r="C3620" t="s">
        <v>3427</v>
      </c>
      <c r="D3620" t="s">
        <v>3395</v>
      </c>
    </row>
    <row r="3621" spans="1:4" x14ac:dyDescent="0.25">
      <c r="A3621" s="2" t="s">
        <v>3454</v>
      </c>
      <c r="B3621" s="1">
        <v>14280</v>
      </c>
      <c r="C3621" t="s">
        <v>3427</v>
      </c>
      <c r="D3621" t="s">
        <v>3395</v>
      </c>
    </row>
    <row r="3622" spans="1:4" x14ac:dyDescent="0.25">
      <c r="A3622" s="2" t="s">
        <v>3455</v>
      </c>
      <c r="B3622" s="1">
        <v>14340</v>
      </c>
      <c r="C3622" t="s">
        <v>3427</v>
      </c>
      <c r="D3622" t="s">
        <v>3395</v>
      </c>
    </row>
    <row r="3623" spans="1:4" x14ac:dyDescent="0.25">
      <c r="A3623" s="2" t="s">
        <v>3456</v>
      </c>
      <c r="B3623" s="1">
        <v>14320</v>
      </c>
      <c r="C3623" t="s">
        <v>3427</v>
      </c>
      <c r="D3623" t="s">
        <v>3395</v>
      </c>
    </row>
    <row r="3624" spans="1:4" x14ac:dyDescent="0.25">
      <c r="A3624" s="2" t="s">
        <v>3457</v>
      </c>
      <c r="B3624" s="1">
        <v>14353</v>
      </c>
      <c r="C3624" t="s">
        <v>3458</v>
      </c>
      <c r="D3624" t="s">
        <v>3395</v>
      </c>
    </row>
    <row r="3625" spans="1:4" x14ac:dyDescent="0.25">
      <c r="A3625" s="2" t="s">
        <v>3459</v>
      </c>
      <c r="B3625" s="1">
        <v>14378</v>
      </c>
      <c r="C3625" t="s">
        <v>3458</v>
      </c>
      <c r="D3625" t="s">
        <v>3395</v>
      </c>
    </row>
    <row r="3626" spans="1:4" x14ac:dyDescent="0.25">
      <c r="A3626" s="2" t="s">
        <v>3460</v>
      </c>
      <c r="B3626" s="1">
        <v>14408</v>
      </c>
      <c r="C3626" t="s">
        <v>3458</v>
      </c>
      <c r="D3626" t="s">
        <v>3395</v>
      </c>
    </row>
    <row r="3627" spans="1:4" x14ac:dyDescent="0.25">
      <c r="A3627" s="2" t="s">
        <v>3461</v>
      </c>
      <c r="B3627" s="1">
        <v>14408</v>
      </c>
      <c r="C3627" t="s">
        <v>3458</v>
      </c>
      <c r="D3627" t="s">
        <v>3395</v>
      </c>
    </row>
    <row r="3628" spans="1:4" x14ac:dyDescent="0.25">
      <c r="A3628" s="2" t="s">
        <v>3462</v>
      </c>
      <c r="B3628" s="1">
        <v>14408</v>
      </c>
      <c r="C3628" t="s">
        <v>3458</v>
      </c>
      <c r="D3628" t="s">
        <v>3395</v>
      </c>
    </row>
    <row r="3629" spans="1:4" x14ac:dyDescent="0.25">
      <c r="A3629" s="2" t="s">
        <v>3463</v>
      </c>
      <c r="B3629" s="1">
        <v>14441</v>
      </c>
      <c r="C3629" t="s">
        <v>3458</v>
      </c>
      <c r="D3629" t="s">
        <v>3395</v>
      </c>
    </row>
    <row r="3630" spans="1:4" x14ac:dyDescent="0.25">
      <c r="A3630" s="2" t="s">
        <v>3464</v>
      </c>
      <c r="B3630" s="1">
        <v>14408</v>
      </c>
      <c r="C3630" t="s">
        <v>3458</v>
      </c>
      <c r="D3630" t="s">
        <v>3395</v>
      </c>
    </row>
    <row r="3631" spans="1:4" x14ac:dyDescent="0.25">
      <c r="A3631" s="2" t="s">
        <v>3465</v>
      </c>
      <c r="B3631" s="1">
        <v>14348</v>
      </c>
      <c r="C3631" t="s">
        <v>3458</v>
      </c>
      <c r="D3631" t="s">
        <v>3395</v>
      </c>
    </row>
    <row r="3632" spans="1:4" x14ac:dyDescent="0.25">
      <c r="A3632" s="2" t="s">
        <v>3466</v>
      </c>
      <c r="B3632" s="1">
        <v>14351</v>
      </c>
      <c r="C3632" t="s">
        <v>3458</v>
      </c>
      <c r="D3632" t="s">
        <v>3395</v>
      </c>
    </row>
    <row r="3633" spans="1:4" x14ac:dyDescent="0.25">
      <c r="A3633" s="2" t="s">
        <v>3467</v>
      </c>
      <c r="B3633" s="1">
        <v>14378</v>
      </c>
      <c r="C3633" t="s">
        <v>3458</v>
      </c>
      <c r="D3633" t="s">
        <v>3395</v>
      </c>
    </row>
    <row r="3634" spans="1:4" x14ac:dyDescent="0.25">
      <c r="A3634" s="2" t="s">
        <v>3468</v>
      </c>
      <c r="B3634" s="1">
        <v>14378</v>
      </c>
      <c r="C3634" t="s">
        <v>3458</v>
      </c>
      <c r="D3634" t="s">
        <v>3395</v>
      </c>
    </row>
    <row r="3635" spans="1:4" x14ac:dyDescent="0.25">
      <c r="A3635" s="2" t="s">
        <v>3469</v>
      </c>
      <c r="B3635" s="1">
        <v>14378</v>
      </c>
      <c r="C3635" t="s">
        <v>3458</v>
      </c>
      <c r="D3635" t="s">
        <v>3395</v>
      </c>
    </row>
    <row r="3636" spans="1:4" x14ac:dyDescent="0.25">
      <c r="A3636" s="2" t="s">
        <v>3470</v>
      </c>
      <c r="B3636" s="1">
        <v>14346</v>
      </c>
      <c r="C3636" t="s">
        <v>3458</v>
      </c>
      <c r="D3636" t="s">
        <v>3395</v>
      </c>
    </row>
    <row r="3637" spans="1:4" x14ac:dyDescent="0.25">
      <c r="A3637" s="2" t="s">
        <v>3471</v>
      </c>
      <c r="B3637" s="1">
        <v>14348</v>
      </c>
      <c r="C3637" t="s">
        <v>3458</v>
      </c>
      <c r="D3637" t="s">
        <v>3395</v>
      </c>
    </row>
    <row r="3638" spans="1:4" x14ac:dyDescent="0.25">
      <c r="A3638" s="2" t="s">
        <v>3472</v>
      </c>
      <c r="B3638" s="1">
        <v>14337</v>
      </c>
      <c r="C3638" t="s">
        <v>3458</v>
      </c>
      <c r="D3638" t="s">
        <v>3395</v>
      </c>
    </row>
    <row r="3639" spans="1:4" x14ac:dyDescent="0.25">
      <c r="A3639" s="2" t="s">
        <v>3473</v>
      </c>
      <c r="B3639" s="1">
        <v>14343</v>
      </c>
      <c r="C3639" t="s">
        <v>3458</v>
      </c>
      <c r="D3639" t="s">
        <v>3395</v>
      </c>
    </row>
    <row r="3640" spans="1:4" x14ac:dyDescent="0.25">
      <c r="A3640" s="2" t="s">
        <v>3474</v>
      </c>
      <c r="B3640" s="1">
        <v>14343</v>
      </c>
      <c r="C3640" t="s">
        <v>3458</v>
      </c>
      <c r="D3640" t="s">
        <v>3395</v>
      </c>
    </row>
    <row r="3641" spans="1:4" x14ac:dyDescent="0.25">
      <c r="A3641" s="2" t="s">
        <v>3475</v>
      </c>
      <c r="B3641" s="1">
        <v>14343</v>
      </c>
      <c r="C3641" t="s">
        <v>3458</v>
      </c>
      <c r="D3641" t="s">
        <v>3395</v>
      </c>
    </row>
    <row r="3642" spans="1:4" x14ac:dyDescent="0.25">
      <c r="A3642" s="2" t="s">
        <v>3476</v>
      </c>
      <c r="B3642" s="1">
        <v>14343</v>
      </c>
      <c r="C3642" t="s">
        <v>3458</v>
      </c>
      <c r="D3642" t="s">
        <v>3395</v>
      </c>
    </row>
    <row r="3643" spans="1:4" x14ac:dyDescent="0.25">
      <c r="A3643" s="2" t="s">
        <v>3477</v>
      </c>
      <c r="B3643" s="1">
        <v>14384</v>
      </c>
      <c r="C3643" t="s">
        <v>3458</v>
      </c>
      <c r="D3643" t="s">
        <v>3395</v>
      </c>
    </row>
    <row r="3644" spans="1:4" x14ac:dyDescent="0.25">
      <c r="A3644" s="2" t="s">
        <v>3478</v>
      </c>
      <c r="B3644" s="1">
        <v>14349</v>
      </c>
      <c r="C3644" t="s">
        <v>3458</v>
      </c>
      <c r="D3644" t="s">
        <v>3395</v>
      </c>
    </row>
    <row r="3645" spans="1:4" x14ac:dyDescent="0.25">
      <c r="A3645" s="2" t="s">
        <v>3479</v>
      </c>
      <c r="B3645" s="1">
        <v>14264</v>
      </c>
      <c r="C3645" t="s">
        <v>3458</v>
      </c>
      <c r="D3645" t="s">
        <v>3395</v>
      </c>
    </row>
    <row r="3646" spans="1:4" x14ac:dyDescent="0.25">
      <c r="A3646" s="2" t="s">
        <v>3480</v>
      </c>
      <c r="B3646" s="1">
        <v>14251</v>
      </c>
      <c r="C3646" t="s">
        <v>3458</v>
      </c>
      <c r="D3646" t="s">
        <v>3395</v>
      </c>
    </row>
    <row r="3647" spans="1:4" x14ac:dyDescent="0.25">
      <c r="A3647" s="2" t="s">
        <v>3481</v>
      </c>
      <c r="B3647" s="1">
        <v>14219</v>
      </c>
      <c r="C3647" t="s">
        <v>3458</v>
      </c>
      <c r="D3647" t="s">
        <v>3395</v>
      </c>
    </row>
    <row r="3648" spans="1:4" x14ac:dyDescent="0.25">
      <c r="A3648" s="2" t="s">
        <v>3482</v>
      </c>
      <c r="B3648" s="1">
        <v>14219</v>
      </c>
      <c r="C3648" t="s">
        <v>3458</v>
      </c>
      <c r="D3648" t="s">
        <v>3395</v>
      </c>
    </row>
    <row r="3649" spans="1:4" x14ac:dyDescent="0.25">
      <c r="A3649" s="2" t="s">
        <v>3483</v>
      </c>
      <c r="B3649" s="1">
        <v>14219</v>
      </c>
      <c r="C3649" t="s">
        <v>3458</v>
      </c>
      <c r="D3649" t="s">
        <v>3395</v>
      </c>
    </row>
    <row r="3650" spans="1:4" x14ac:dyDescent="0.25">
      <c r="A3650" s="2" t="s">
        <v>3484</v>
      </c>
      <c r="B3650" s="1">
        <v>14225</v>
      </c>
      <c r="C3650" t="s">
        <v>3458</v>
      </c>
      <c r="D3650" t="s">
        <v>3395</v>
      </c>
    </row>
    <row r="3651" spans="1:4" x14ac:dyDescent="0.25">
      <c r="A3651" s="2" t="s">
        <v>3485</v>
      </c>
      <c r="B3651" s="1">
        <v>14237</v>
      </c>
      <c r="C3651" t="s">
        <v>3458</v>
      </c>
      <c r="D3651" t="s">
        <v>3395</v>
      </c>
    </row>
    <row r="3652" spans="1:4" x14ac:dyDescent="0.25">
      <c r="A3652" s="2" t="s">
        <v>3486</v>
      </c>
      <c r="B3652" s="1">
        <v>14265</v>
      </c>
      <c r="C3652" t="s">
        <v>3458</v>
      </c>
      <c r="D3652" t="s">
        <v>3395</v>
      </c>
    </row>
    <row r="3653" spans="1:4" x14ac:dyDescent="0.25">
      <c r="A3653" s="2" t="s">
        <v>3487</v>
      </c>
      <c r="B3653" s="1">
        <v>14269</v>
      </c>
      <c r="C3653" t="s">
        <v>3458</v>
      </c>
      <c r="D3653" t="s">
        <v>3395</v>
      </c>
    </row>
    <row r="3654" spans="1:4" x14ac:dyDescent="0.25">
      <c r="A3654" s="2" t="s">
        <v>3488</v>
      </c>
      <c r="B3654" s="1">
        <v>14278</v>
      </c>
      <c r="C3654" t="s">
        <v>3458</v>
      </c>
      <c r="D3654" t="s">
        <v>3395</v>
      </c>
    </row>
    <row r="3655" spans="1:4" x14ac:dyDescent="0.25">
      <c r="A3655" s="2" t="s">
        <v>3489</v>
      </c>
      <c r="B3655" s="1">
        <v>14278</v>
      </c>
      <c r="C3655" t="s">
        <v>3490</v>
      </c>
      <c r="D3655" t="s">
        <v>3491</v>
      </c>
    </row>
    <row r="3656" spans="1:4" x14ac:dyDescent="0.25">
      <c r="A3656" s="2" t="s">
        <v>3492</v>
      </c>
      <c r="B3656" s="1">
        <v>14278</v>
      </c>
      <c r="C3656" t="s">
        <v>3490</v>
      </c>
      <c r="D3656" t="s">
        <v>3491</v>
      </c>
    </row>
    <row r="3657" spans="1:4" x14ac:dyDescent="0.25">
      <c r="A3657" s="2" t="s">
        <v>3493</v>
      </c>
      <c r="B3657" s="1">
        <v>14270</v>
      </c>
      <c r="C3657" t="s">
        <v>3490</v>
      </c>
      <c r="D3657" t="s">
        <v>3491</v>
      </c>
    </row>
    <row r="3658" spans="1:4" x14ac:dyDescent="0.25">
      <c r="A3658" s="2" t="s">
        <v>3494</v>
      </c>
      <c r="B3658" s="1">
        <v>14310</v>
      </c>
      <c r="C3658" t="s">
        <v>3490</v>
      </c>
      <c r="D3658" t="s">
        <v>3491</v>
      </c>
    </row>
    <row r="3659" spans="1:4" x14ac:dyDescent="0.25">
      <c r="A3659" s="2" t="s">
        <v>3495</v>
      </c>
      <c r="B3659" s="1">
        <v>14365</v>
      </c>
      <c r="C3659" t="s">
        <v>3490</v>
      </c>
      <c r="D3659" t="s">
        <v>3491</v>
      </c>
    </row>
    <row r="3660" spans="1:4" x14ac:dyDescent="0.25">
      <c r="A3660" s="2" t="s">
        <v>3496</v>
      </c>
      <c r="B3660" s="1">
        <v>14396</v>
      </c>
      <c r="C3660" t="s">
        <v>3490</v>
      </c>
      <c r="D3660" t="s">
        <v>3491</v>
      </c>
    </row>
    <row r="3661" spans="1:4" x14ac:dyDescent="0.25">
      <c r="A3661" s="2" t="s">
        <v>3497</v>
      </c>
      <c r="B3661" s="1">
        <v>14360</v>
      </c>
      <c r="C3661" t="s">
        <v>3490</v>
      </c>
      <c r="D3661" t="s">
        <v>3491</v>
      </c>
    </row>
    <row r="3662" spans="1:4" x14ac:dyDescent="0.25">
      <c r="A3662" s="2" t="s">
        <v>3498</v>
      </c>
      <c r="B3662" s="1">
        <v>14360</v>
      </c>
      <c r="C3662" t="s">
        <v>3490</v>
      </c>
      <c r="D3662" t="s">
        <v>3491</v>
      </c>
    </row>
    <row r="3663" spans="1:4" x14ac:dyDescent="0.25">
      <c r="A3663" s="2" t="s">
        <v>3499</v>
      </c>
      <c r="B3663" s="1">
        <v>14360</v>
      </c>
      <c r="C3663" t="s">
        <v>3490</v>
      </c>
      <c r="D3663" t="s">
        <v>3491</v>
      </c>
    </row>
    <row r="3664" spans="1:4" x14ac:dyDescent="0.25">
      <c r="A3664" s="2" t="s">
        <v>3500</v>
      </c>
      <c r="B3664" s="1">
        <v>14323</v>
      </c>
      <c r="C3664" t="s">
        <v>3490</v>
      </c>
      <c r="D3664" t="s">
        <v>3491</v>
      </c>
    </row>
    <row r="3665" spans="1:4" x14ac:dyDescent="0.25">
      <c r="A3665" s="2" t="s">
        <v>3501</v>
      </c>
      <c r="B3665" s="1">
        <v>14299</v>
      </c>
      <c r="C3665" t="s">
        <v>3490</v>
      </c>
      <c r="D3665" t="s">
        <v>3491</v>
      </c>
    </row>
    <row r="3666" spans="1:4" x14ac:dyDescent="0.25">
      <c r="A3666" s="2" t="s">
        <v>3502</v>
      </c>
      <c r="B3666" s="1">
        <v>14302</v>
      </c>
      <c r="C3666" t="s">
        <v>3490</v>
      </c>
      <c r="D3666" t="s">
        <v>3491</v>
      </c>
    </row>
    <row r="3667" spans="1:4" x14ac:dyDescent="0.25">
      <c r="A3667" s="2" t="s">
        <v>3503</v>
      </c>
      <c r="B3667" s="1">
        <v>14311</v>
      </c>
      <c r="C3667" t="s">
        <v>3490</v>
      </c>
      <c r="D3667" t="s">
        <v>3491</v>
      </c>
    </row>
    <row r="3668" spans="1:4" x14ac:dyDescent="0.25">
      <c r="A3668" s="2" t="s">
        <v>3504</v>
      </c>
      <c r="B3668" s="1">
        <v>14310</v>
      </c>
      <c r="C3668" t="s">
        <v>3490</v>
      </c>
      <c r="D3668" t="s">
        <v>3491</v>
      </c>
    </row>
    <row r="3669" spans="1:4" x14ac:dyDescent="0.25">
      <c r="A3669" s="2" t="s">
        <v>3505</v>
      </c>
      <c r="B3669" s="1">
        <v>14310</v>
      </c>
      <c r="C3669" t="s">
        <v>3490</v>
      </c>
      <c r="D3669" t="s">
        <v>3491</v>
      </c>
    </row>
    <row r="3670" spans="1:4" x14ac:dyDescent="0.25">
      <c r="A3670" s="2" t="s">
        <v>3506</v>
      </c>
      <c r="B3670" s="1">
        <v>14310</v>
      </c>
      <c r="C3670" t="s">
        <v>3490</v>
      </c>
      <c r="D3670" t="s">
        <v>3491</v>
      </c>
    </row>
    <row r="3671" spans="1:4" x14ac:dyDescent="0.25">
      <c r="A3671" s="2" t="s">
        <v>3507</v>
      </c>
      <c r="B3671" s="1">
        <v>14323</v>
      </c>
      <c r="C3671" t="s">
        <v>3490</v>
      </c>
      <c r="D3671" t="s">
        <v>3491</v>
      </c>
    </row>
    <row r="3672" spans="1:4" x14ac:dyDescent="0.25">
      <c r="A3672" s="2" t="s">
        <v>3508</v>
      </c>
      <c r="B3672" s="1">
        <v>14325</v>
      </c>
      <c r="C3672" t="s">
        <v>3490</v>
      </c>
      <c r="D3672" t="s">
        <v>3491</v>
      </c>
    </row>
    <row r="3673" spans="1:4" x14ac:dyDescent="0.25">
      <c r="A3673" s="2" t="s">
        <v>3509</v>
      </c>
      <c r="B3673" s="1">
        <v>14370</v>
      </c>
      <c r="C3673" t="s">
        <v>3490</v>
      </c>
      <c r="D3673" t="s">
        <v>3491</v>
      </c>
    </row>
    <row r="3674" spans="1:4" x14ac:dyDescent="0.25">
      <c r="A3674" s="2" t="s">
        <v>3510</v>
      </c>
      <c r="B3674" s="1">
        <v>14354</v>
      </c>
      <c r="C3674" t="s">
        <v>3490</v>
      </c>
      <c r="D3674" t="s">
        <v>3491</v>
      </c>
    </row>
    <row r="3675" spans="1:4" x14ac:dyDescent="0.25">
      <c r="A3675" s="2" t="s">
        <v>3511</v>
      </c>
      <c r="B3675" s="1">
        <v>14347</v>
      </c>
      <c r="C3675" t="s">
        <v>3490</v>
      </c>
      <c r="D3675" t="s">
        <v>3491</v>
      </c>
    </row>
    <row r="3676" spans="1:4" x14ac:dyDescent="0.25">
      <c r="A3676" s="2" t="s">
        <v>3512</v>
      </c>
      <c r="B3676" s="1">
        <v>14347</v>
      </c>
      <c r="C3676" t="s">
        <v>3490</v>
      </c>
      <c r="D3676" t="s">
        <v>3491</v>
      </c>
    </row>
    <row r="3677" spans="1:4" x14ac:dyDescent="0.25">
      <c r="A3677" s="2" t="s">
        <v>3513</v>
      </c>
      <c r="B3677" s="1">
        <v>14347</v>
      </c>
      <c r="C3677" t="s">
        <v>3490</v>
      </c>
      <c r="D3677" t="s">
        <v>3491</v>
      </c>
    </row>
    <row r="3678" spans="1:4" x14ac:dyDescent="0.25">
      <c r="A3678" s="2" t="s">
        <v>3514</v>
      </c>
      <c r="B3678" s="1">
        <v>14327</v>
      </c>
      <c r="C3678" t="s">
        <v>3490</v>
      </c>
      <c r="D3678" t="s">
        <v>3491</v>
      </c>
    </row>
    <row r="3679" spans="1:4" x14ac:dyDescent="0.25">
      <c r="A3679" s="2" t="s">
        <v>3515</v>
      </c>
      <c r="B3679" s="1">
        <v>14358</v>
      </c>
      <c r="C3679" t="s">
        <v>3490</v>
      </c>
      <c r="D3679" t="s">
        <v>3491</v>
      </c>
    </row>
    <row r="3680" spans="1:4" x14ac:dyDescent="0.25">
      <c r="A3680" s="2" t="s">
        <v>3516</v>
      </c>
      <c r="B3680" s="1">
        <v>14346</v>
      </c>
      <c r="C3680" t="s">
        <v>3490</v>
      </c>
      <c r="D3680" t="s">
        <v>3491</v>
      </c>
    </row>
    <row r="3681" spans="1:4" x14ac:dyDescent="0.25">
      <c r="A3681" s="2" t="s">
        <v>3517</v>
      </c>
      <c r="B3681" s="1">
        <v>14385</v>
      </c>
      <c r="C3681" t="s">
        <v>3490</v>
      </c>
      <c r="D3681" t="s">
        <v>3491</v>
      </c>
    </row>
    <row r="3682" spans="1:4" x14ac:dyDescent="0.25">
      <c r="A3682" s="2" t="s">
        <v>3518</v>
      </c>
      <c r="B3682" s="1">
        <v>14381</v>
      </c>
      <c r="C3682" t="s">
        <v>3490</v>
      </c>
      <c r="D3682" t="s">
        <v>3491</v>
      </c>
    </row>
    <row r="3683" spans="1:4" x14ac:dyDescent="0.25">
      <c r="A3683" s="2" t="s">
        <v>3519</v>
      </c>
      <c r="B3683" s="1">
        <v>14381</v>
      </c>
      <c r="C3683" t="s">
        <v>3490</v>
      </c>
      <c r="D3683" t="s">
        <v>3491</v>
      </c>
    </row>
    <row r="3684" spans="1:4" x14ac:dyDescent="0.25">
      <c r="A3684" s="2" t="s">
        <v>3520</v>
      </c>
      <c r="B3684" s="1">
        <v>14381</v>
      </c>
      <c r="C3684" t="s">
        <v>3490</v>
      </c>
      <c r="D3684" t="s">
        <v>3491</v>
      </c>
    </row>
    <row r="3685" spans="1:4" x14ac:dyDescent="0.25">
      <c r="A3685" s="2" t="s">
        <v>3521</v>
      </c>
      <c r="B3685" s="1">
        <v>14392</v>
      </c>
      <c r="C3685" t="s">
        <v>3490</v>
      </c>
      <c r="D3685" t="s">
        <v>3491</v>
      </c>
    </row>
    <row r="3686" spans="1:4" x14ac:dyDescent="0.25">
      <c r="A3686" s="2" t="s">
        <v>3522</v>
      </c>
      <c r="B3686" s="1">
        <v>14392</v>
      </c>
      <c r="C3686" t="s">
        <v>3523</v>
      </c>
      <c r="D3686" t="s">
        <v>3491</v>
      </c>
    </row>
    <row r="3687" spans="1:4" x14ac:dyDescent="0.25">
      <c r="A3687" s="2" t="s">
        <v>3524</v>
      </c>
      <c r="B3687" s="1">
        <v>14347</v>
      </c>
      <c r="C3687" t="s">
        <v>3523</v>
      </c>
      <c r="D3687" t="s">
        <v>3491</v>
      </c>
    </row>
    <row r="3688" spans="1:4" x14ac:dyDescent="0.25">
      <c r="A3688" s="2" t="s">
        <v>3525</v>
      </c>
      <c r="B3688" s="1">
        <v>14381</v>
      </c>
      <c r="C3688" t="s">
        <v>3523</v>
      </c>
      <c r="D3688" t="s">
        <v>3491</v>
      </c>
    </row>
    <row r="3689" spans="1:4" x14ac:dyDescent="0.25">
      <c r="A3689" s="2" t="s">
        <v>3526</v>
      </c>
      <c r="B3689" s="1">
        <v>14376</v>
      </c>
      <c r="C3689" t="s">
        <v>3523</v>
      </c>
      <c r="D3689" t="s">
        <v>3491</v>
      </c>
    </row>
    <row r="3690" spans="1:4" x14ac:dyDescent="0.25">
      <c r="A3690" s="2" t="s">
        <v>3527</v>
      </c>
      <c r="B3690" s="1">
        <v>14376</v>
      </c>
      <c r="C3690" t="s">
        <v>3523</v>
      </c>
      <c r="D3690" t="s">
        <v>3491</v>
      </c>
    </row>
    <row r="3691" spans="1:4" x14ac:dyDescent="0.25">
      <c r="A3691" s="2" t="s">
        <v>3528</v>
      </c>
      <c r="B3691" s="1">
        <v>14376</v>
      </c>
      <c r="C3691" t="s">
        <v>3523</v>
      </c>
      <c r="D3691" t="s">
        <v>3491</v>
      </c>
    </row>
    <row r="3692" spans="1:4" x14ac:dyDescent="0.25">
      <c r="A3692" s="2" t="s">
        <v>3529</v>
      </c>
      <c r="B3692" s="1">
        <v>14404</v>
      </c>
      <c r="C3692" t="s">
        <v>3523</v>
      </c>
      <c r="D3692" t="s">
        <v>3491</v>
      </c>
    </row>
    <row r="3693" spans="1:4" x14ac:dyDescent="0.25">
      <c r="A3693" s="2" t="s">
        <v>3530</v>
      </c>
      <c r="B3693" s="1">
        <v>14385</v>
      </c>
      <c r="C3693" t="s">
        <v>3523</v>
      </c>
      <c r="D3693" t="s">
        <v>3491</v>
      </c>
    </row>
    <row r="3694" spans="1:4" x14ac:dyDescent="0.25">
      <c r="A3694" s="2" t="s">
        <v>3531</v>
      </c>
      <c r="B3694" s="1">
        <v>14366</v>
      </c>
      <c r="C3694" t="s">
        <v>3523</v>
      </c>
      <c r="D3694" t="s">
        <v>3491</v>
      </c>
    </row>
    <row r="3695" spans="1:4" x14ac:dyDescent="0.25">
      <c r="A3695" s="2" t="s">
        <v>3532</v>
      </c>
      <c r="B3695" s="1">
        <v>14344</v>
      </c>
      <c r="C3695" t="s">
        <v>3523</v>
      </c>
      <c r="D3695" t="s">
        <v>3491</v>
      </c>
    </row>
    <row r="3696" spans="1:4" x14ac:dyDescent="0.25">
      <c r="A3696" s="2" t="s">
        <v>3533</v>
      </c>
      <c r="B3696" s="1">
        <v>14359</v>
      </c>
      <c r="C3696" t="s">
        <v>3523</v>
      </c>
      <c r="D3696" t="s">
        <v>3491</v>
      </c>
    </row>
    <row r="3697" spans="1:4" x14ac:dyDescent="0.25">
      <c r="A3697" s="2" t="s">
        <v>3534</v>
      </c>
      <c r="B3697" s="1">
        <v>14359</v>
      </c>
      <c r="C3697" t="s">
        <v>3523</v>
      </c>
      <c r="D3697" t="s">
        <v>3491</v>
      </c>
    </row>
    <row r="3698" spans="1:4" x14ac:dyDescent="0.25">
      <c r="A3698" s="2" t="s">
        <v>3535</v>
      </c>
      <c r="B3698" s="1">
        <v>14359</v>
      </c>
      <c r="C3698" t="s">
        <v>3523</v>
      </c>
      <c r="D3698" t="s">
        <v>3491</v>
      </c>
    </row>
    <row r="3699" spans="1:4" x14ac:dyDescent="0.25">
      <c r="A3699" s="2" t="s">
        <v>3536</v>
      </c>
      <c r="B3699" s="1">
        <v>14338</v>
      </c>
      <c r="C3699" t="s">
        <v>3523</v>
      </c>
      <c r="D3699" t="s">
        <v>3491</v>
      </c>
    </row>
    <row r="3700" spans="1:4" x14ac:dyDescent="0.25">
      <c r="A3700" s="2" t="s">
        <v>3537</v>
      </c>
      <c r="B3700" s="1">
        <v>14292</v>
      </c>
      <c r="C3700" t="s">
        <v>3523</v>
      </c>
      <c r="D3700" t="s">
        <v>3491</v>
      </c>
    </row>
    <row r="3701" spans="1:4" x14ac:dyDescent="0.25">
      <c r="A3701" s="2" t="s">
        <v>3538</v>
      </c>
      <c r="B3701" s="1">
        <v>14278</v>
      </c>
      <c r="C3701" t="s">
        <v>3523</v>
      </c>
      <c r="D3701" t="s">
        <v>3491</v>
      </c>
    </row>
    <row r="3702" spans="1:4" x14ac:dyDescent="0.25">
      <c r="A3702" s="2" t="s">
        <v>3539</v>
      </c>
      <c r="B3702" s="1">
        <v>14301</v>
      </c>
      <c r="C3702" t="s">
        <v>3523</v>
      </c>
      <c r="D3702" t="s">
        <v>3491</v>
      </c>
    </row>
    <row r="3703" spans="1:4" x14ac:dyDescent="0.25">
      <c r="A3703" s="2" t="s">
        <v>3540</v>
      </c>
      <c r="B3703" s="1">
        <v>14339</v>
      </c>
      <c r="C3703" t="s">
        <v>3523</v>
      </c>
      <c r="D3703" t="s">
        <v>3491</v>
      </c>
    </row>
    <row r="3704" spans="1:4" x14ac:dyDescent="0.25">
      <c r="A3704" s="2" t="s">
        <v>3541</v>
      </c>
      <c r="B3704" s="1">
        <v>14339</v>
      </c>
      <c r="C3704" t="s">
        <v>3523</v>
      </c>
      <c r="D3704" t="s">
        <v>3491</v>
      </c>
    </row>
    <row r="3705" spans="1:4" x14ac:dyDescent="0.25">
      <c r="A3705" s="2" t="s">
        <v>3542</v>
      </c>
      <c r="B3705" s="1">
        <v>14339</v>
      </c>
      <c r="C3705" t="s">
        <v>3523</v>
      </c>
      <c r="D3705" t="s">
        <v>3491</v>
      </c>
    </row>
    <row r="3706" spans="1:4" x14ac:dyDescent="0.25">
      <c r="A3706" s="2" t="s">
        <v>3543</v>
      </c>
      <c r="B3706" s="1">
        <v>14329</v>
      </c>
      <c r="C3706" t="s">
        <v>3523</v>
      </c>
      <c r="D3706" t="s">
        <v>3491</v>
      </c>
    </row>
    <row r="3707" spans="1:4" x14ac:dyDescent="0.25">
      <c r="A3707" s="2" t="s">
        <v>3544</v>
      </c>
      <c r="B3707" s="1">
        <v>14362</v>
      </c>
      <c r="C3707" t="s">
        <v>3523</v>
      </c>
      <c r="D3707" t="s">
        <v>3491</v>
      </c>
    </row>
    <row r="3708" spans="1:4" x14ac:dyDescent="0.25">
      <c r="A3708" s="2" t="s">
        <v>3545</v>
      </c>
      <c r="B3708" s="1">
        <v>14355</v>
      </c>
      <c r="C3708" t="s">
        <v>3523</v>
      </c>
      <c r="D3708" t="s">
        <v>3491</v>
      </c>
    </row>
    <row r="3709" spans="1:4" x14ac:dyDescent="0.25">
      <c r="A3709" s="2" t="s">
        <v>3546</v>
      </c>
      <c r="B3709" s="1">
        <v>14371</v>
      </c>
      <c r="C3709" t="s">
        <v>3523</v>
      </c>
      <c r="D3709" t="s">
        <v>3491</v>
      </c>
    </row>
    <row r="3710" spans="1:4" x14ac:dyDescent="0.25">
      <c r="A3710" s="2" t="s">
        <v>3547</v>
      </c>
      <c r="B3710" s="1">
        <v>14369</v>
      </c>
      <c r="C3710" t="s">
        <v>3523</v>
      </c>
      <c r="D3710" t="s">
        <v>3491</v>
      </c>
    </row>
    <row r="3711" spans="1:4" x14ac:dyDescent="0.25">
      <c r="A3711" s="2" t="s">
        <v>3548</v>
      </c>
      <c r="B3711" s="1">
        <v>14369</v>
      </c>
      <c r="C3711" t="s">
        <v>3523</v>
      </c>
      <c r="D3711" t="s">
        <v>3491</v>
      </c>
    </row>
    <row r="3712" spans="1:4" x14ac:dyDescent="0.25">
      <c r="A3712" s="2" t="s">
        <v>3549</v>
      </c>
      <c r="B3712" s="1">
        <v>14369</v>
      </c>
      <c r="C3712" t="s">
        <v>3523</v>
      </c>
      <c r="D3712" t="s">
        <v>3491</v>
      </c>
    </row>
    <row r="3713" spans="1:4" x14ac:dyDescent="0.25">
      <c r="A3713" s="2" t="s">
        <v>3550</v>
      </c>
      <c r="B3713" s="1">
        <v>14369</v>
      </c>
      <c r="C3713" t="s">
        <v>3523</v>
      </c>
      <c r="D3713" t="s">
        <v>3491</v>
      </c>
    </row>
    <row r="3714" spans="1:4" x14ac:dyDescent="0.25">
      <c r="A3714" s="2" t="s">
        <v>3551</v>
      </c>
      <c r="B3714" s="1">
        <v>14350</v>
      </c>
      <c r="C3714" t="s">
        <v>3552</v>
      </c>
      <c r="D3714" t="s">
        <v>3491</v>
      </c>
    </row>
    <row r="3715" spans="1:4" x14ac:dyDescent="0.25">
      <c r="A3715" s="2" t="s">
        <v>3553</v>
      </c>
      <c r="B3715" s="1">
        <v>14373</v>
      </c>
      <c r="C3715" t="s">
        <v>3552</v>
      </c>
      <c r="D3715" t="s">
        <v>3491</v>
      </c>
    </row>
    <row r="3716" spans="1:4" x14ac:dyDescent="0.25">
      <c r="A3716" s="2" t="s">
        <v>3554</v>
      </c>
      <c r="B3716" s="1">
        <v>14373</v>
      </c>
      <c r="C3716" t="s">
        <v>3552</v>
      </c>
      <c r="D3716" t="s">
        <v>3491</v>
      </c>
    </row>
    <row r="3717" spans="1:4" x14ac:dyDescent="0.25">
      <c r="A3717" s="2" t="s">
        <v>3555</v>
      </c>
      <c r="B3717" s="1">
        <v>14383</v>
      </c>
      <c r="C3717" t="s">
        <v>3552</v>
      </c>
      <c r="D3717" t="s">
        <v>3491</v>
      </c>
    </row>
    <row r="3718" spans="1:4" x14ac:dyDescent="0.25">
      <c r="A3718" s="2" t="s">
        <v>3556</v>
      </c>
      <c r="B3718" s="1">
        <v>14383</v>
      </c>
      <c r="C3718" t="s">
        <v>3552</v>
      </c>
      <c r="D3718" t="s">
        <v>3491</v>
      </c>
    </row>
    <row r="3719" spans="1:4" x14ac:dyDescent="0.25">
      <c r="A3719" s="2" t="s">
        <v>3557</v>
      </c>
      <c r="B3719" s="1">
        <v>14383</v>
      </c>
      <c r="C3719" t="s">
        <v>3552</v>
      </c>
      <c r="D3719" t="s">
        <v>3491</v>
      </c>
    </row>
    <row r="3720" spans="1:4" x14ac:dyDescent="0.25">
      <c r="A3720" s="2" t="s">
        <v>3558</v>
      </c>
      <c r="B3720" s="1">
        <v>14411</v>
      </c>
      <c r="C3720" t="s">
        <v>3552</v>
      </c>
      <c r="D3720" t="s">
        <v>3491</v>
      </c>
    </row>
    <row r="3721" spans="1:4" x14ac:dyDescent="0.25">
      <c r="A3721" s="2" t="s">
        <v>3559</v>
      </c>
      <c r="B3721" s="1">
        <v>14394</v>
      </c>
      <c r="C3721" t="s">
        <v>3552</v>
      </c>
      <c r="D3721" t="s">
        <v>3491</v>
      </c>
    </row>
    <row r="3722" spans="1:4" x14ac:dyDescent="0.25">
      <c r="A3722" s="2" t="s">
        <v>3560</v>
      </c>
      <c r="B3722" s="1">
        <v>14371</v>
      </c>
      <c r="C3722" t="s">
        <v>3552</v>
      </c>
      <c r="D3722" t="s">
        <v>3491</v>
      </c>
    </row>
    <row r="3723" spans="1:4" x14ac:dyDescent="0.25">
      <c r="A3723" s="2" t="s">
        <v>3561</v>
      </c>
      <c r="B3723" s="1">
        <v>14298</v>
      </c>
      <c r="C3723" t="s">
        <v>3552</v>
      </c>
      <c r="D3723" t="s">
        <v>3491</v>
      </c>
    </row>
    <row r="3724" spans="1:4" x14ac:dyDescent="0.25">
      <c r="A3724" s="2" t="s">
        <v>3562</v>
      </c>
      <c r="B3724" s="1">
        <v>14306</v>
      </c>
      <c r="C3724" t="s">
        <v>3552</v>
      </c>
      <c r="D3724" t="s">
        <v>3491</v>
      </c>
    </row>
    <row r="3725" spans="1:4" x14ac:dyDescent="0.25">
      <c r="A3725" s="2" t="s">
        <v>3563</v>
      </c>
      <c r="B3725" s="1">
        <v>14306</v>
      </c>
      <c r="C3725" t="s">
        <v>3552</v>
      </c>
      <c r="D3725" t="s">
        <v>3491</v>
      </c>
    </row>
    <row r="3726" spans="1:4" x14ac:dyDescent="0.25">
      <c r="A3726" s="2" t="s">
        <v>3564</v>
      </c>
      <c r="B3726" s="1">
        <v>14306</v>
      </c>
      <c r="C3726" t="s">
        <v>3552</v>
      </c>
      <c r="D3726" t="s">
        <v>3491</v>
      </c>
    </row>
    <row r="3727" spans="1:4" x14ac:dyDescent="0.25">
      <c r="A3727" s="2" t="s">
        <v>3565</v>
      </c>
      <c r="B3727" s="1">
        <v>14328</v>
      </c>
      <c r="C3727" t="s">
        <v>3552</v>
      </c>
      <c r="D3727" t="s">
        <v>3491</v>
      </c>
    </row>
    <row r="3728" spans="1:4" x14ac:dyDescent="0.25">
      <c r="A3728" s="2" t="s">
        <v>3566</v>
      </c>
      <c r="B3728" s="1">
        <v>14321</v>
      </c>
      <c r="C3728" t="s">
        <v>3552</v>
      </c>
      <c r="D3728" t="s">
        <v>3491</v>
      </c>
    </row>
    <row r="3729" spans="1:4" x14ac:dyDescent="0.25">
      <c r="A3729" s="2" t="s">
        <v>3567</v>
      </c>
      <c r="B3729" s="1">
        <v>14311</v>
      </c>
      <c r="C3729" t="s">
        <v>3552</v>
      </c>
      <c r="D3729" t="s">
        <v>3491</v>
      </c>
    </row>
    <row r="3730" spans="1:4" x14ac:dyDescent="0.25">
      <c r="A3730" s="2" t="s">
        <v>3568</v>
      </c>
      <c r="B3730" s="1">
        <v>14290</v>
      </c>
      <c r="C3730" t="s">
        <v>3552</v>
      </c>
      <c r="D3730" t="s">
        <v>3491</v>
      </c>
    </row>
    <row r="3731" spans="1:4" x14ac:dyDescent="0.25">
      <c r="A3731" s="2" t="s">
        <v>3569</v>
      </c>
      <c r="B3731" s="1">
        <v>14340</v>
      </c>
      <c r="C3731" t="s">
        <v>3552</v>
      </c>
      <c r="D3731" t="s">
        <v>3491</v>
      </c>
    </row>
    <row r="3732" spans="1:4" x14ac:dyDescent="0.25">
      <c r="A3732" s="2" t="s">
        <v>3570</v>
      </c>
      <c r="B3732" s="1">
        <v>14340</v>
      </c>
      <c r="C3732" t="s">
        <v>3552</v>
      </c>
      <c r="D3732" t="s">
        <v>3491</v>
      </c>
    </row>
    <row r="3733" spans="1:4" x14ac:dyDescent="0.25">
      <c r="A3733" s="2" t="s">
        <v>3571</v>
      </c>
      <c r="B3733" s="1">
        <v>14340</v>
      </c>
      <c r="C3733" t="s">
        <v>3552</v>
      </c>
      <c r="D3733" t="s">
        <v>3491</v>
      </c>
    </row>
    <row r="3734" spans="1:4" x14ac:dyDescent="0.25">
      <c r="A3734" s="2" t="s">
        <v>3572</v>
      </c>
      <c r="B3734" s="1">
        <v>14341</v>
      </c>
      <c r="C3734" t="s">
        <v>3552</v>
      </c>
      <c r="D3734" t="s">
        <v>3491</v>
      </c>
    </row>
    <row r="3735" spans="1:4" x14ac:dyDescent="0.25">
      <c r="A3735" s="2" t="s">
        <v>3573</v>
      </c>
      <c r="B3735" s="1">
        <v>14358</v>
      </c>
      <c r="C3735" t="s">
        <v>3552</v>
      </c>
      <c r="D3735" t="s">
        <v>3491</v>
      </c>
    </row>
    <row r="3736" spans="1:4" x14ac:dyDescent="0.25">
      <c r="A3736" s="2" t="s">
        <v>3574</v>
      </c>
      <c r="B3736" s="1">
        <v>14351</v>
      </c>
      <c r="C3736" t="s">
        <v>3552</v>
      </c>
      <c r="D3736" t="s">
        <v>3491</v>
      </c>
    </row>
    <row r="3737" spans="1:4" x14ac:dyDescent="0.25">
      <c r="A3737" s="2" t="s">
        <v>3575</v>
      </c>
      <c r="B3737" s="1">
        <v>14361</v>
      </c>
      <c r="C3737" t="s">
        <v>3552</v>
      </c>
      <c r="D3737" t="s">
        <v>3491</v>
      </c>
    </row>
    <row r="3738" spans="1:4" x14ac:dyDescent="0.25">
      <c r="A3738" s="2" t="s">
        <v>3576</v>
      </c>
      <c r="B3738" s="1">
        <v>14341</v>
      </c>
      <c r="C3738" t="s">
        <v>3552</v>
      </c>
      <c r="D3738" t="s">
        <v>3491</v>
      </c>
    </row>
    <row r="3739" spans="1:4" x14ac:dyDescent="0.25">
      <c r="A3739" s="2" t="s">
        <v>3577</v>
      </c>
      <c r="B3739" s="1">
        <v>14341</v>
      </c>
      <c r="C3739" t="s">
        <v>3552</v>
      </c>
      <c r="D3739" t="s">
        <v>3491</v>
      </c>
    </row>
    <row r="3740" spans="1:4" x14ac:dyDescent="0.25">
      <c r="A3740" s="2" t="s">
        <v>3578</v>
      </c>
      <c r="B3740" s="1">
        <v>14341</v>
      </c>
      <c r="C3740" t="s">
        <v>3552</v>
      </c>
      <c r="D3740" t="s">
        <v>3491</v>
      </c>
    </row>
    <row r="3741" spans="1:4" x14ac:dyDescent="0.25">
      <c r="A3741" s="2" t="s">
        <v>3579</v>
      </c>
      <c r="B3741" s="1">
        <v>14360</v>
      </c>
      <c r="C3741" t="s">
        <v>3552</v>
      </c>
      <c r="D3741" t="s">
        <v>3491</v>
      </c>
    </row>
    <row r="3742" spans="1:4" x14ac:dyDescent="0.25">
      <c r="A3742" s="2" t="s">
        <v>3580</v>
      </c>
      <c r="B3742" s="1">
        <v>14364</v>
      </c>
      <c r="C3742" t="s">
        <v>3552</v>
      </c>
      <c r="D3742" t="s">
        <v>3491</v>
      </c>
    </row>
    <row r="3743" spans="1:4" x14ac:dyDescent="0.25">
      <c r="A3743" s="2" t="s">
        <v>3581</v>
      </c>
      <c r="B3743" s="1">
        <v>14349</v>
      </c>
      <c r="C3743" t="s">
        <v>3552</v>
      </c>
      <c r="D3743" t="s">
        <v>3491</v>
      </c>
    </row>
    <row r="3744" spans="1:4" x14ac:dyDescent="0.25">
      <c r="A3744" s="2" t="s">
        <v>3582</v>
      </c>
      <c r="B3744" s="1">
        <v>14357</v>
      </c>
      <c r="C3744" t="s">
        <v>3552</v>
      </c>
      <c r="D3744" t="s">
        <v>3491</v>
      </c>
    </row>
    <row r="3745" spans="1:4" x14ac:dyDescent="0.25">
      <c r="A3745" s="2" t="s">
        <v>3583</v>
      </c>
      <c r="B3745" s="1">
        <v>14364</v>
      </c>
      <c r="C3745" t="s">
        <v>3584</v>
      </c>
      <c r="D3745" t="s">
        <v>3585</v>
      </c>
    </row>
    <row r="3746" spans="1:4" x14ac:dyDescent="0.25">
      <c r="A3746" s="2" t="s">
        <v>3586</v>
      </c>
      <c r="B3746" s="1">
        <v>14364</v>
      </c>
      <c r="C3746" t="s">
        <v>3584</v>
      </c>
      <c r="D3746" t="s">
        <v>3585</v>
      </c>
    </row>
    <row r="3747" spans="1:4" x14ac:dyDescent="0.25">
      <c r="A3747" s="2" t="s">
        <v>3587</v>
      </c>
      <c r="B3747" s="1">
        <v>14364</v>
      </c>
      <c r="C3747" t="s">
        <v>3584</v>
      </c>
      <c r="D3747" t="s">
        <v>3585</v>
      </c>
    </row>
    <row r="3748" spans="1:4" x14ac:dyDescent="0.25">
      <c r="A3748" s="2" t="s">
        <v>3588</v>
      </c>
      <c r="B3748" s="1">
        <v>14362</v>
      </c>
      <c r="C3748" t="s">
        <v>3584</v>
      </c>
      <c r="D3748" t="s">
        <v>3585</v>
      </c>
    </row>
    <row r="3749" spans="1:4" x14ac:dyDescent="0.25">
      <c r="A3749" s="2" t="s">
        <v>3589</v>
      </c>
      <c r="B3749" s="1">
        <v>14348</v>
      </c>
      <c r="C3749" t="s">
        <v>3584</v>
      </c>
      <c r="D3749" t="s">
        <v>3585</v>
      </c>
    </row>
    <row r="3750" spans="1:4" x14ac:dyDescent="0.25">
      <c r="A3750" s="2" t="s">
        <v>3590</v>
      </c>
      <c r="B3750" s="1">
        <v>14364</v>
      </c>
      <c r="C3750" t="s">
        <v>3584</v>
      </c>
      <c r="D3750" t="s">
        <v>3585</v>
      </c>
    </row>
    <row r="3751" spans="1:4" x14ac:dyDescent="0.25">
      <c r="A3751" s="2" t="s">
        <v>3591</v>
      </c>
      <c r="B3751" s="1">
        <v>14359</v>
      </c>
      <c r="C3751" t="s">
        <v>3584</v>
      </c>
      <c r="D3751" t="s">
        <v>3585</v>
      </c>
    </row>
    <row r="3752" spans="1:4" x14ac:dyDescent="0.25">
      <c r="A3752" s="2" t="s">
        <v>3592</v>
      </c>
      <c r="B3752" s="1">
        <v>14365</v>
      </c>
      <c r="C3752" t="s">
        <v>3584</v>
      </c>
      <c r="D3752" t="s">
        <v>3585</v>
      </c>
    </row>
    <row r="3753" spans="1:4" x14ac:dyDescent="0.25">
      <c r="A3753" s="2" t="s">
        <v>3593</v>
      </c>
      <c r="B3753" s="1">
        <v>14365</v>
      </c>
      <c r="C3753" t="s">
        <v>3584</v>
      </c>
      <c r="D3753" t="s">
        <v>3585</v>
      </c>
    </row>
    <row r="3754" spans="1:4" x14ac:dyDescent="0.25">
      <c r="A3754" s="2" t="s">
        <v>3594</v>
      </c>
      <c r="B3754" s="1">
        <v>14365</v>
      </c>
      <c r="C3754" t="s">
        <v>3584</v>
      </c>
      <c r="D3754" t="s">
        <v>3585</v>
      </c>
    </row>
    <row r="3755" spans="1:4" x14ac:dyDescent="0.25">
      <c r="A3755" s="2" t="s">
        <v>3595</v>
      </c>
      <c r="B3755" s="1">
        <v>14370</v>
      </c>
      <c r="C3755" t="s">
        <v>3584</v>
      </c>
      <c r="D3755" t="s">
        <v>3585</v>
      </c>
    </row>
    <row r="3756" spans="1:4" x14ac:dyDescent="0.25">
      <c r="A3756" s="2" t="s">
        <v>3596</v>
      </c>
      <c r="B3756" s="1">
        <v>14364</v>
      </c>
      <c r="C3756" t="s">
        <v>3584</v>
      </c>
      <c r="D3756" t="s">
        <v>3585</v>
      </c>
    </row>
    <row r="3757" spans="1:4" x14ac:dyDescent="0.25">
      <c r="A3757" s="2" t="s">
        <v>3597</v>
      </c>
      <c r="B3757" s="1">
        <v>14359</v>
      </c>
      <c r="C3757" t="s">
        <v>3584</v>
      </c>
      <c r="D3757" t="s">
        <v>3585</v>
      </c>
    </row>
    <row r="3758" spans="1:4" x14ac:dyDescent="0.25">
      <c r="A3758" s="2" t="s">
        <v>3598</v>
      </c>
      <c r="B3758" s="1">
        <v>14349</v>
      </c>
      <c r="C3758" t="s">
        <v>3584</v>
      </c>
      <c r="D3758" t="s">
        <v>3585</v>
      </c>
    </row>
    <row r="3759" spans="1:4" x14ac:dyDescent="0.25">
      <c r="A3759" s="2" t="s">
        <v>3599</v>
      </c>
      <c r="B3759" s="1">
        <v>14349</v>
      </c>
      <c r="C3759" t="s">
        <v>3584</v>
      </c>
      <c r="D3759" t="s">
        <v>3585</v>
      </c>
    </row>
    <row r="3760" spans="1:4" x14ac:dyDescent="0.25">
      <c r="A3760" s="2" t="s">
        <v>3600</v>
      </c>
      <c r="B3760" s="1">
        <v>14349</v>
      </c>
      <c r="C3760" t="s">
        <v>3584</v>
      </c>
      <c r="D3760" t="s">
        <v>3585</v>
      </c>
    </row>
    <row r="3761" spans="1:4" x14ac:dyDescent="0.25">
      <c r="A3761" s="2" t="s">
        <v>3601</v>
      </c>
      <c r="B3761" s="1">
        <v>14349</v>
      </c>
      <c r="C3761" t="s">
        <v>3584</v>
      </c>
      <c r="D3761" t="s">
        <v>3585</v>
      </c>
    </row>
    <row r="3762" spans="1:4" x14ac:dyDescent="0.25">
      <c r="A3762" s="2" t="s">
        <v>3602</v>
      </c>
      <c r="B3762" s="1">
        <v>14356</v>
      </c>
      <c r="C3762" t="s">
        <v>3584</v>
      </c>
      <c r="D3762" t="s">
        <v>3585</v>
      </c>
    </row>
    <row r="3763" spans="1:4" x14ac:dyDescent="0.25">
      <c r="A3763" s="2" t="s">
        <v>3603</v>
      </c>
      <c r="B3763" s="1">
        <v>14347</v>
      </c>
      <c r="C3763" t="s">
        <v>3584</v>
      </c>
      <c r="D3763" t="s">
        <v>3585</v>
      </c>
    </row>
    <row r="3764" spans="1:4" x14ac:dyDescent="0.25">
      <c r="A3764" s="2" t="s">
        <v>3604</v>
      </c>
      <c r="B3764" s="1">
        <v>14351</v>
      </c>
      <c r="C3764" t="s">
        <v>3584</v>
      </c>
      <c r="D3764" t="s">
        <v>3585</v>
      </c>
    </row>
    <row r="3765" spans="1:4" x14ac:dyDescent="0.25">
      <c r="A3765" s="2" t="s">
        <v>3605</v>
      </c>
      <c r="B3765" s="1">
        <v>14348</v>
      </c>
      <c r="C3765" t="s">
        <v>3584</v>
      </c>
      <c r="D3765" t="s">
        <v>3585</v>
      </c>
    </row>
    <row r="3766" spans="1:4" x14ac:dyDescent="0.25">
      <c r="A3766" s="2" t="s">
        <v>3606</v>
      </c>
      <c r="B3766" s="1">
        <v>14361</v>
      </c>
      <c r="C3766" t="s">
        <v>3584</v>
      </c>
      <c r="D3766" t="s">
        <v>3585</v>
      </c>
    </row>
    <row r="3767" spans="1:4" x14ac:dyDescent="0.25">
      <c r="A3767" s="2" t="s">
        <v>3607</v>
      </c>
      <c r="B3767" s="1">
        <v>14361</v>
      </c>
      <c r="C3767" t="s">
        <v>3584</v>
      </c>
      <c r="D3767" t="s">
        <v>3585</v>
      </c>
    </row>
    <row r="3768" spans="1:4" x14ac:dyDescent="0.25">
      <c r="A3768" s="2" t="s">
        <v>3608</v>
      </c>
      <c r="B3768" s="1">
        <v>14361</v>
      </c>
      <c r="C3768" t="s">
        <v>3584</v>
      </c>
      <c r="D3768" t="s">
        <v>3585</v>
      </c>
    </row>
    <row r="3769" spans="1:4" x14ac:dyDescent="0.25">
      <c r="A3769" s="2" t="s">
        <v>3609</v>
      </c>
      <c r="B3769" s="1">
        <v>14452</v>
      </c>
      <c r="C3769" t="s">
        <v>3584</v>
      </c>
      <c r="D3769" t="s">
        <v>3585</v>
      </c>
    </row>
    <row r="3770" spans="1:4" x14ac:dyDescent="0.25">
      <c r="A3770" s="2" t="s">
        <v>3610</v>
      </c>
      <c r="B3770" s="1">
        <v>14412</v>
      </c>
      <c r="C3770" t="s">
        <v>3584</v>
      </c>
      <c r="D3770" t="s">
        <v>3585</v>
      </c>
    </row>
    <row r="3771" spans="1:4" x14ac:dyDescent="0.25">
      <c r="A3771" s="2" t="s">
        <v>3611</v>
      </c>
      <c r="B3771" s="1">
        <v>14418</v>
      </c>
      <c r="C3771" t="s">
        <v>3584</v>
      </c>
      <c r="D3771" t="s">
        <v>3585</v>
      </c>
    </row>
    <row r="3772" spans="1:4" x14ac:dyDescent="0.25">
      <c r="A3772" s="2" t="s">
        <v>3612</v>
      </c>
      <c r="B3772" s="1">
        <v>14480</v>
      </c>
      <c r="C3772" t="s">
        <v>3584</v>
      </c>
      <c r="D3772" t="s">
        <v>3585</v>
      </c>
    </row>
    <row r="3773" spans="1:4" x14ac:dyDescent="0.25">
      <c r="A3773" s="2" t="s">
        <v>3613</v>
      </c>
      <c r="B3773" s="1">
        <v>14480</v>
      </c>
      <c r="C3773" t="s">
        <v>3584</v>
      </c>
      <c r="D3773" t="s">
        <v>3585</v>
      </c>
    </row>
    <row r="3774" spans="1:4" x14ac:dyDescent="0.25">
      <c r="A3774" s="2" t="s">
        <v>3614</v>
      </c>
      <c r="B3774" s="1">
        <v>14480</v>
      </c>
      <c r="C3774" t="s">
        <v>3584</v>
      </c>
      <c r="D3774" t="s">
        <v>3585</v>
      </c>
    </row>
    <row r="3775" spans="1:4" x14ac:dyDescent="0.25">
      <c r="A3775" s="2" t="s">
        <v>3615</v>
      </c>
      <c r="B3775" s="1">
        <v>14480</v>
      </c>
      <c r="C3775" t="s">
        <v>3616</v>
      </c>
      <c r="D3775" t="s">
        <v>3585</v>
      </c>
    </row>
    <row r="3776" spans="1:4" x14ac:dyDescent="0.25">
      <c r="A3776" s="2" t="s">
        <v>3617</v>
      </c>
      <c r="B3776" s="1">
        <v>14480</v>
      </c>
      <c r="C3776" t="s">
        <v>3616</v>
      </c>
      <c r="D3776" t="s">
        <v>3585</v>
      </c>
    </row>
    <row r="3777" spans="1:4" x14ac:dyDescent="0.25">
      <c r="A3777" s="2" t="s">
        <v>3618</v>
      </c>
      <c r="B3777" s="1">
        <v>14480</v>
      </c>
      <c r="C3777" t="s">
        <v>3616</v>
      </c>
      <c r="D3777" t="s">
        <v>3585</v>
      </c>
    </row>
    <row r="3778" spans="1:4" x14ac:dyDescent="0.25">
      <c r="A3778" s="2" t="s">
        <v>3619</v>
      </c>
      <c r="B3778" s="1">
        <v>14480</v>
      </c>
      <c r="C3778" t="s">
        <v>3616</v>
      </c>
      <c r="D3778" t="s">
        <v>3585</v>
      </c>
    </row>
    <row r="3779" spans="1:4" x14ac:dyDescent="0.25">
      <c r="A3779" s="2" t="s">
        <v>3620</v>
      </c>
      <c r="B3779" s="1">
        <v>14480</v>
      </c>
      <c r="C3779" t="s">
        <v>3616</v>
      </c>
      <c r="D3779" t="s">
        <v>3585</v>
      </c>
    </row>
    <row r="3780" spans="1:4" x14ac:dyDescent="0.25">
      <c r="A3780" s="2" t="s">
        <v>3621</v>
      </c>
      <c r="B3780" s="1">
        <v>14480</v>
      </c>
      <c r="C3780" t="s">
        <v>3616</v>
      </c>
      <c r="D3780" t="s">
        <v>3585</v>
      </c>
    </row>
    <row r="3781" spans="1:4" x14ac:dyDescent="0.25">
      <c r="A3781" s="2" t="s">
        <v>3622</v>
      </c>
      <c r="B3781" s="1">
        <v>14480</v>
      </c>
      <c r="C3781" t="s">
        <v>3616</v>
      </c>
      <c r="D3781" t="s">
        <v>3585</v>
      </c>
    </row>
    <row r="3782" spans="1:4" x14ac:dyDescent="0.25">
      <c r="A3782" s="2" t="s">
        <v>3623</v>
      </c>
      <c r="B3782" s="1">
        <v>14480</v>
      </c>
      <c r="C3782" t="s">
        <v>3616</v>
      </c>
      <c r="D3782" t="s">
        <v>3585</v>
      </c>
    </row>
    <row r="3783" spans="1:4" x14ac:dyDescent="0.25">
      <c r="A3783" s="2" t="s">
        <v>3624</v>
      </c>
      <c r="B3783" s="1">
        <v>14534</v>
      </c>
      <c r="C3783" t="s">
        <v>3616</v>
      </c>
      <c r="D3783" t="s">
        <v>3585</v>
      </c>
    </row>
    <row r="3784" spans="1:4" x14ac:dyDescent="0.25">
      <c r="A3784" s="2" t="s">
        <v>3625</v>
      </c>
      <c r="B3784" s="1">
        <v>14546</v>
      </c>
      <c r="C3784" t="s">
        <v>3616</v>
      </c>
      <c r="D3784" t="s">
        <v>3585</v>
      </c>
    </row>
    <row r="3785" spans="1:4" x14ac:dyDescent="0.25">
      <c r="A3785" s="2" t="s">
        <v>3626</v>
      </c>
      <c r="B3785" s="1">
        <v>14546</v>
      </c>
      <c r="C3785" t="s">
        <v>3616</v>
      </c>
      <c r="D3785" t="s">
        <v>3585</v>
      </c>
    </row>
    <row r="3786" spans="1:4" x14ac:dyDescent="0.25">
      <c r="A3786" s="2" t="s">
        <v>3627</v>
      </c>
      <c r="B3786" s="1">
        <v>14585</v>
      </c>
      <c r="C3786" t="s">
        <v>3616</v>
      </c>
      <c r="D3786" t="s">
        <v>3585</v>
      </c>
    </row>
    <row r="3787" spans="1:4" x14ac:dyDescent="0.25">
      <c r="A3787" s="2" t="s">
        <v>3628</v>
      </c>
      <c r="B3787" s="1">
        <v>14619</v>
      </c>
      <c r="C3787" t="s">
        <v>3616</v>
      </c>
      <c r="D3787" t="s">
        <v>3585</v>
      </c>
    </row>
    <row r="3788" spans="1:4" x14ac:dyDescent="0.25">
      <c r="A3788" s="2" t="s">
        <v>3629</v>
      </c>
      <c r="B3788" s="1">
        <v>14619</v>
      </c>
      <c r="C3788" t="s">
        <v>3616</v>
      </c>
      <c r="D3788" t="s">
        <v>3585</v>
      </c>
    </row>
    <row r="3789" spans="1:4" x14ac:dyDescent="0.25">
      <c r="A3789" s="2" t="s">
        <v>3630</v>
      </c>
      <c r="B3789" s="1">
        <v>14619</v>
      </c>
      <c r="C3789" t="s">
        <v>3616</v>
      </c>
      <c r="D3789" t="s">
        <v>3585</v>
      </c>
    </row>
    <row r="3790" spans="1:4" x14ac:dyDescent="0.25">
      <c r="A3790" s="2" t="s">
        <v>3631</v>
      </c>
      <c r="B3790" s="1">
        <v>14619</v>
      </c>
      <c r="C3790" t="s">
        <v>3616</v>
      </c>
      <c r="D3790" t="s">
        <v>3585</v>
      </c>
    </row>
    <row r="3791" spans="1:4" x14ac:dyDescent="0.25">
      <c r="A3791" s="2" t="s">
        <v>3632</v>
      </c>
      <c r="B3791" s="1">
        <v>14651</v>
      </c>
      <c r="C3791" t="s">
        <v>3616</v>
      </c>
      <c r="D3791" t="s">
        <v>3585</v>
      </c>
    </row>
    <row r="3792" spans="1:4" x14ac:dyDescent="0.25">
      <c r="A3792" s="2" t="s">
        <v>3633</v>
      </c>
      <c r="B3792" s="1">
        <v>14682</v>
      </c>
      <c r="C3792" t="s">
        <v>3616</v>
      </c>
      <c r="D3792" t="s">
        <v>3585</v>
      </c>
    </row>
    <row r="3793" spans="1:4" x14ac:dyDescent="0.25">
      <c r="A3793" s="2" t="s">
        <v>3634</v>
      </c>
      <c r="B3793" s="1">
        <v>14731</v>
      </c>
      <c r="C3793" t="s">
        <v>3616</v>
      </c>
      <c r="D3793" t="s">
        <v>3585</v>
      </c>
    </row>
    <row r="3794" spans="1:4" x14ac:dyDescent="0.25">
      <c r="A3794" s="2" t="s">
        <v>3635</v>
      </c>
      <c r="B3794" s="1">
        <v>14661</v>
      </c>
      <c r="C3794" t="s">
        <v>3616</v>
      </c>
      <c r="D3794" t="s">
        <v>3585</v>
      </c>
    </row>
    <row r="3795" spans="1:4" x14ac:dyDescent="0.25">
      <c r="A3795" s="2" t="s">
        <v>3636</v>
      </c>
      <c r="B3795" s="1">
        <v>14661</v>
      </c>
      <c r="C3795" t="s">
        <v>3616</v>
      </c>
      <c r="D3795" t="s">
        <v>3585</v>
      </c>
    </row>
    <row r="3796" spans="1:4" x14ac:dyDescent="0.25">
      <c r="A3796" s="2" t="s">
        <v>3637</v>
      </c>
      <c r="B3796" s="1">
        <v>14661</v>
      </c>
      <c r="C3796" t="s">
        <v>3616</v>
      </c>
      <c r="D3796" t="s">
        <v>3585</v>
      </c>
    </row>
    <row r="3797" spans="1:4" x14ac:dyDescent="0.25">
      <c r="A3797" s="2" t="s">
        <v>3638</v>
      </c>
      <c r="B3797" s="1">
        <v>14665</v>
      </c>
      <c r="C3797" t="s">
        <v>3616</v>
      </c>
      <c r="D3797" t="s">
        <v>3585</v>
      </c>
    </row>
    <row r="3798" spans="1:4" x14ac:dyDescent="0.25">
      <c r="A3798" s="2" t="s">
        <v>3639</v>
      </c>
      <c r="B3798" s="1">
        <v>14653</v>
      </c>
      <c r="C3798" t="s">
        <v>3616</v>
      </c>
      <c r="D3798" t="s">
        <v>3585</v>
      </c>
    </row>
    <row r="3799" spans="1:4" x14ac:dyDescent="0.25">
      <c r="A3799" s="2" t="s">
        <v>3640</v>
      </c>
      <c r="B3799" s="1">
        <v>14645</v>
      </c>
      <c r="C3799" t="s">
        <v>3616</v>
      </c>
      <c r="D3799" t="s">
        <v>3585</v>
      </c>
    </row>
    <row r="3800" spans="1:4" x14ac:dyDescent="0.25">
      <c r="A3800" s="2" t="s">
        <v>3641</v>
      </c>
      <c r="B3800" s="1">
        <v>14645</v>
      </c>
      <c r="C3800" t="s">
        <v>3616</v>
      </c>
      <c r="D3800" t="s">
        <v>3585</v>
      </c>
    </row>
    <row r="3801" spans="1:4" x14ac:dyDescent="0.25">
      <c r="A3801" s="2" t="s">
        <v>3642</v>
      </c>
      <c r="B3801" s="1">
        <v>14578</v>
      </c>
      <c r="C3801" t="s">
        <v>3616</v>
      </c>
      <c r="D3801" t="s">
        <v>3585</v>
      </c>
    </row>
    <row r="3802" spans="1:4" x14ac:dyDescent="0.25">
      <c r="A3802" s="2" t="s">
        <v>3643</v>
      </c>
      <c r="B3802" s="1">
        <v>14578</v>
      </c>
      <c r="C3802" t="s">
        <v>3616</v>
      </c>
      <c r="D3802" t="s">
        <v>3585</v>
      </c>
    </row>
    <row r="3803" spans="1:4" x14ac:dyDescent="0.25">
      <c r="A3803" s="2" t="s">
        <v>3644</v>
      </c>
      <c r="B3803" s="1">
        <v>14578</v>
      </c>
      <c r="C3803" t="s">
        <v>3616</v>
      </c>
      <c r="D3803" t="s">
        <v>3585</v>
      </c>
    </row>
    <row r="3804" spans="1:4" x14ac:dyDescent="0.25">
      <c r="A3804" s="2" t="s">
        <v>3645</v>
      </c>
      <c r="B3804" s="1">
        <v>14544</v>
      </c>
      <c r="C3804" t="s">
        <v>3616</v>
      </c>
      <c r="D3804" t="s">
        <v>3585</v>
      </c>
    </row>
    <row r="3805" spans="1:4" x14ac:dyDescent="0.25">
      <c r="A3805" s="2" t="s">
        <v>3646</v>
      </c>
      <c r="B3805" s="1">
        <v>14592</v>
      </c>
      <c r="C3805" t="s">
        <v>3616</v>
      </c>
      <c r="D3805" t="s">
        <v>3585</v>
      </c>
    </row>
    <row r="3806" spans="1:4" x14ac:dyDescent="0.25">
      <c r="A3806" s="2" t="s">
        <v>3647</v>
      </c>
      <c r="B3806" s="1">
        <v>14592</v>
      </c>
      <c r="C3806" t="s">
        <v>3648</v>
      </c>
      <c r="D3806" t="s">
        <v>3585</v>
      </c>
    </row>
    <row r="3807" spans="1:4" x14ac:dyDescent="0.25">
      <c r="A3807" s="2" t="s">
        <v>3649</v>
      </c>
      <c r="B3807" s="1">
        <v>14526</v>
      </c>
      <c r="C3807" t="s">
        <v>3648</v>
      </c>
      <c r="D3807" t="s">
        <v>3585</v>
      </c>
    </row>
    <row r="3808" spans="1:4" x14ac:dyDescent="0.25">
      <c r="A3808" s="2" t="s">
        <v>3650</v>
      </c>
      <c r="B3808" s="1">
        <v>14431</v>
      </c>
      <c r="C3808" t="s">
        <v>3648</v>
      </c>
      <c r="D3808" t="s">
        <v>3585</v>
      </c>
    </row>
    <row r="3809" spans="1:4" x14ac:dyDescent="0.25">
      <c r="A3809" s="2" t="s">
        <v>3651</v>
      </c>
      <c r="B3809" s="1">
        <v>14431</v>
      </c>
      <c r="C3809" t="s">
        <v>3648</v>
      </c>
      <c r="D3809" t="s">
        <v>3585</v>
      </c>
    </row>
    <row r="3810" spans="1:4" x14ac:dyDescent="0.25">
      <c r="A3810" s="2" t="s">
        <v>3652</v>
      </c>
      <c r="B3810" s="1">
        <v>14431</v>
      </c>
      <c r="C3810" t="s">
        <v>3648</v>
      </c>
      <c r="D3810" t="s">
        <v>3585</v>
      </c>
    </row>
    <row r="3811" spans="1:4" x14ac:dyDescent="0.25">
      <c r="A3811" s="2" t="s">
        <v>3653</v>
      </c>
      <c r="B3811" s="1">
        <v>14462</v>
      </c>
      <c r="C3811" t="s">
        <v>3648</v>
      </c>
      <c r="D3811" t="s">
        <v>3585</v>
      </c>
    </row>
    <row r="3812" spans="1:4" x14ac:dyDescent="0.25">
      <c r="A3812" s="2" t="s">
        <v>3654</v>
      </c>
      <c r="B3812" s="1">
        <v>14464</v>
      </c>
      <c r="C3812" t="s">
        <v>3648</v>
      </c>
      <c r="D3812" t="s">
        <v>3585</v>
      </c>
    </row>
    <row r="3813" spans="1:4" x14ac:dyDescent="0.25">
      <c r="A3813" s="2" t="s">
        <v>3655</v>
      </c>
      <c r="B3813" s="1">
        <v>14477</v>
      </c>
      <c r="C3813" t="s">
        <v>3648</v>
      </c>
      <c r="D3813" t="s">
        <v>3585</v>
      </c>
    </row>
    <row r="3814" spans="1:4" x14ac:dyDescent="0.25">
      <c r="A3814" s="2" t="s">
        <v>3656</v>
      </c>
      <c r="B3814" s="1">
        <v>14555</v>
      </c>
      <c r="C3814" t="s">
        <v>3648</v>
      </c>
      <c r="D3814" t="s">
        <v>3585</v>
      </c>
    </row>
    <row r="3815" spans="1:4" x14ac:dyDescent="0.25">
      <c r="A3815" s="2" t="s">
        <v>3657</v>
      </c>
      <c r="B3815" s="1">
        <v>14569</v>
      </c>
      <c r="C3815" t="s">
        <v>3648</v>
      </c>
      <c r="D3815" t="s">
        <v>3585</v>
      </c>
    </row>
    <row r="3816" spans="1:4" x14ac:dyDescent="0.25">
      <c r="A3816" s="2" t="s">
        <v>3658</v>
      </c>
      <c r="B3816" s="1">
        <v>14569</v>
      </c>
      <c r="C3816" t="s">
        <v>3648</v>
      </c>
      <c r="D3816" t="s">
        <v>3585</v>
      </c>
    </row>
    <row r="3817" spans="1:4" x14ac:dyDescent="0.25">
      <c r="A3817" s="2" t="s">
        <v>3659</v>
      </c>
      <c r="B3817" s="1">
        <v>14569</v>
      </c>
      <c r="C3817" t="s">
        <v>3648</v>
      </c>
      <c r="D3817" t="s">
        <v>3585</v>
      </c>
    </row>
    <row r="3818" spans="1:4" x14ac:dyDescent="0.25">
      <c r="A3818" s="2" t="s">
        <v>3660</v>
      </c>
      <c r="B3818" s="1">
        <v>14672</v>
      </c>
      <c r="C3818" t="s">
        <v>3648</v>
      </c>
      <c r="D3818" t="s">
        <v>3585</v>
      </c>
    </row>
    <row r="3819" spans="1:4" x14ac:dyDescent="0.25">
      <c r="A3819" s="2" t="s">
        <v>3661</v>
      </c>
      <c r="B3819" s="1">
        <v>14729</v>
      </c>
      <c r="C3819" t="s">
        <v>3648</v>
      </c>
      <c r="D3819" t="s">
        <v>3585</v>
      </c>
    </row>
    <row r="3820" spans="1:4" x14ac:dyDescent="0.25">
      <c r="A3820" s="2" t="s">
        <v>3662</v>
      </c>
      <c r="B3820" s="1">
        <v>14746</v>
      </c>
      <c r="C3820" t="s">
        <v>3648</v>
      </c>
      <c r="D3820" t="s">
        <v>3585</v>
      </c>
    </row>
    <row r="3821" spans="1:4" x14ac:dyDescent="0.25">
      <c r="A3821" s="2" t="s">
        <v>3663</v>
      </c>
      <c r="B3821" s="1">
        <v>14741</v>
      </c>
      <c r="C3821" t="s">
        <v>3648</v>
      </c>
      <c r="D3821" t="s">
        <v>3585</v>
      </c>
    </row>
    <row r="3822" spans="1:4" x14ac:dyDescent="0.25">
      <c r="A3822" s="2" t="s">
        <v>3664</v>
      </c>
      <c r="B3822" s="1">
        <v>14828</v>
      </c>
      <c r="C3822" t="s">
        <v>3648</v>
      </c>
      <c r="D3822" t="s">
        <v>3585</v>
      </c>
    </row>
    <row r="3823" spans="1:4" x14ac:dyDescent="0.25">
      <c r="A3823" s="2" t="s">
        <v>3665</v>
      </c>
      <c r="B3823" s="1">
        <v>14828</v>
      </c>
      <c r="C3823" t="s">
        <v>3648</v>
      </c>
      <c r="D3823" t="s">
        <v>3585</v>
      </c>
    </row>
    <row r="3824" spans="1:4" x14ac:dyDescent="0.25">
      <c r="A3824" s="2" t="s">
        <v>3666</v>
      </c>
      <c r="B3824" s="1">
        <v>14828</v>
      </c>
      <c r="C3824" t="s">
        <v>3648</v>
      </c>
      <c r="D3824" t="s">
        <v>3585</v>
      </c>
    </row>
    <row r="3825" spans="1:4" x14ac:dyDescent="0.25">
      <c r="A3825" s="2" t="s">
        <v>3667</v>
      </c>
      <c r="B3825" s="1">
        <v>14836</v>
      </c>
      <c r="C3825" t="s">
        <v>3648</v>
      </c>
      <c r="D3825" t="s">
        <v>3585</v>
      </c>
    </row>
    <row r="3826" spans="1:4" x14ac:dyDescent="0.25">
      <c r="A3826" s="2" t="s">
        <v>3668</v>
      </c>
      <c r="B3826" s="1">
        <v>14804</v>
      </c>
      <c r="C3826" t="s">
        <v>3648</v>
      </c>
      <c r="D3826" t="s">
        <v>3585</v>
      </c>
    </row>
    <row r="3827" spans="1:4" x14ac:dyDescent="0.25">
      <c r="A3827" s="2" t="s">
        <v>3669</v>
      </c>
      <c r="B3827" s="1">
        <v>14860</v>
      </c>
      <c r="C3827" t="s">
        <v>3648</v>
      </c>
      <c r="D3827" t="s">
        <v>3585</v>
      </c>
    </row>
    <row r="3828" spans="1:4" x14ac:dyDescent="0.25">
      <c r="A3828" s="2" t="s">
        <v>3670</v>
      </c>
      <c r="B3828" s="1">
        <v>14835</v>
      </c>
      <c r="C3828" t="s">
        <v>3648</v>
      </c>
      <c r="D3828" t="s">
        <v>3585</v>
      </c>
    </row>
    <row r="3829" spans="1:4" x14ac:dyDescent="0.25">
      <c r="A3829" s="2" t="s">
        <v>3671</v>
      </c>
      <c r="B3829" s="1">
        <v>14846</v>
      </c>
      <c r="C3829" t="s">
        <v>3648</v>
      </c>
      <c r="D3829" t="s">
        <v>3585</v>
      </c>
    </row>
    <row r="3830" spans="1:4" x14ac:dyDescent="0.25">
      <c r="A3830" s="2" t="s">
        <v>3672</v>
      </c>
      <c r="B3830" s="1">
        <v>14846</v>
      </c>
      <c r="C3830" t="s">
        <v>3648</v>
      </c>
      <c r="D3830" t="s">
        <v>3585</v>
      </c>
    </row>
    <row r="3831" spans="1:4" x14ac:dyDescent="0.25">
      <c r="A3831" s="2" t="s">
        <v>3673</v>
      </c>
      <c r="B3831" s="1">
        <v>14846</v>
      </c>
      <c r="C3831" t="s">
        <v>3648</v>
      </c>
      <c r="D3831" t="s">
        <v>3585</v>
      </c>
    </row>
    <row r="3832" spans="1:4" x14ac:dyDescent="0.25">
      <c r="A3832" s="2" t="s">
        <v>3674</v>
      </c>
      <c r="B3832" s="1">
        <v>14802</v>
      </c>
      <c r="C3832" t="s">
        <v>3648</v>
      </c>
      <c r="D3832" t="s">
        <v>3585</v>
      </c>
    </row>
    <row r="3833" spans="1:4" x14ac:dyDescent="0.25">
      <c r="A3833" s="2" t="s">
        <v>3675</v>
      </c>
      <c r="B3833" s="1">
        <v>14837</v>
      </c>
      <c r="C3833" t="s">
        <v>3648</v>
      </c>
      <c r="D3833" t="s">
        <v>3585</v>
      </c>
    </row>
    <row r="3834" spans="1:4" x14ac:dyDescent="0.25">
      <c r="A3834" s="2" t="s">
        <v>3676</v>
      </c>
      <c r="B3834" s="1">
        <v>14848</v>
      </c>
      <c r="C3834" t="s">
        <v>3648</v>
      </c>
      <c r="D3834" t="s">
        <v>3585</v>
      </c>
    </row>
    <row r="3835" spans="1:4" x14ac:dyDescent="0.25">
      <c r="A3835" s="2" t="s">
        <v>3677</v>
      </c>
      <c r="B3835" s="1">
        <v>14882</v>
      </c>
      <c r="C3835" t="s">
        <v>3648</v>
      </c>
      <c r="D3835" t="s">
        <v>3585</v>
      </c>
    </row>
    <row r="3836" spans="1:4" x14ac:dyDescent="0.25">
      <c r="A3836" s="2" t="s">
        <v>3678</v>
      </c>
      <c r="B3836" s="1">
        <v>14956</v>
      </c>
      <c r="C3836" t="s">
        <v>3679</v>
      </c>
      <c r="D3836" t="s">
        <v>3680</v>
      </c>
    </row>
    <row r="3837" spans="1:4" x14ac:dyDescent="0.25">
      <c r="A3837" s="2" t="s">
        <v>3681</v>
      </c>
      <c r="B3837" s="1">
        <v>14956</v>
      </c>
      <c r="C3837" t="s">
        <v>3679</v>
      </c>
      <c r="D3837" t="s">
        <v>3680</v>
      </c>
    </row>
    <row r="3838" spans="1:4" x14ac:dyDescent="0.25">
      <c r="A3838" s="2" t="s">
        <v>3682</v>
      </c>
      <c r="B3838" s="1">
        <v>14956</v>
      </c>
      <c r="C3838" t="s">
        <v>3679</v>
      </c>
      <c r="D3838" t="s">
        <v>3680</v>
      </c>
    </row>
    <row r="3839" spans="1:4" x14ac:dyDescent="0.25">
      <c r="A3839" s="2" t="s">
        <v>3683</v>
      </c>
      <c r="B3839" s="1">
        <v>14960</v>
      </c>
      <c r="C3839" t="s">
        <v>3679</v>
      </c>
      <c r="D3839" t="s">
        <v>3680</v>
      </c>
    </row>
    <row r="3840" spans="1:4" x14ac:dyDescent="0.25">
      <c r="A3840" s="2" t="s">
        <v>3684</v>
      </c>
      <c r="B3840" s="1">
        <v>14990</v>
      </c>
      <c r="C3840" t="s">
        <v>3679</v>
      </c>
      <c r="D3840" t="s">
        <v>3680</v>
      </c>
    </row>
    <row r="3841" spans="1:4" x14ac:dyDescent="0.25">
      <c r="A3841" s="2" t="s">
        <v>3685</v>
      </c>
      <c r="B3841" s="1">
        <v>15015</v>
      </c>
      <c r="C3841" t="s">
        <v>3679</v>
      </c>
      <c r="D3841" t="s">
        <v>3680</v>
      </c>
    </row>
    <row r="3842" spans="1:4" x14ac:dyDescent="0.25">
      <c r="A3842" s="2" t="s">
        <v>3686</v>
      </c>
      <c r="B3842" s="1">
        <v>14986</v>
      </c>
      <c r="C3842" t="s">
        <v>3679</v>
      </c>
      <c r="D3842" t="s">
        <v>3680</v>
      </c>
    </row>
    <row r="3843" spans="1:4" x14ac:dyDescent="0.25">
      <c r="A3843" s="2" t="s">
        <v>3687</v>
      </c>
      <c r="B3843" s="1">
        <v>14981</v>
      </c>
      <c r="C3843" t="s">
        <v>3679</v>
      </c>
      <c r="D3843" t="s">
        <v>3680</v>
      </c>
    </row>
    <row r="3844" spans="1:4" x14ac:dyDescent="0.25">
      <c r="A3844" s="2" t="s">
        <v>3688</v>
      </c>
      <c r="B3844" s="1">
        <v>14981</v>
      </c>
      <c r="C3844" t="s">
        <v>3679</v>
      </c>
      <c r="D3844" t="s">
        <v>3680</v>
      </c>
    </row>
    <row r="3845" spans="1:4" x14ac:dyDescent="0.25">
      <c r="A3845" s="2" t="s">
        <v>3689</v>
      </c>
      <c r="B3845" s="1">
        <v>14981</v>
      </c>
      <c r="C3845" t="s">
        <v>3679</v>
      </c>
      <c r="D3845" t="s">
        <v>3680</v>
      </c>
    </row>
    <row r="3846" spans="1:4" x14ac:dyDescent="0.25">
      <c r="A3846" s="2" t="s">
        <v>3690</v>
      </c>
      <c r="B3846" s="1">
        <v>14969</v>
      </c>
      <c r="C3846" t="s">
        <v>3679</v>
      </c>
      <c r="D3846" t="s">
        <v>3680</v>
      </c>
    </row>
    <row r="3847" spans="1:4" x14ac:dyDescent="0.25">
      <c r="A3847" s="2" t="s">
        <v>3691</v>
      </c>
      <c r="B3847" s="1">
        <v>14993</v>
      </c>
      <c r="C3847" t="s">
        <v>3679</v>
      </c>
      <c r="D3847" t="s">
        <v>3680</v>
      </c>
    </row>
    <row r="3848" spans="1:4" x14ac:dyDescent="0.25">
      <c r="A3848" s="2" t="s">
        <v>3692</v>
      </c>
      <c r="B3848" s="1">
        <v>14985</v>
      </c>
      <c r="C3848" t="s">
        <v>3679</v>
      </c>
      <c r="D3848" t="s">
        <v>3680</v>
      </c>
    </row>
    <row r="3849" spans="1:4" x14ac:dyDescent="0.25">
      <c r="A3849" s="2" t="s">
        <v>3693</v>
      </c>
      <c r="B3849" s="1">
        <v>14999</v>
      </c>
      <c r="C3849" t="s">
        <v>3679</v>
      </c>
      <c r="D3849" t="s">
        <v>3680</v>
      </c>
    </row>
    <row r="3850" spans="1:4" x14ac:dyDescent="0.25">
      <c r="A3850" s="2" t="s">
        <v>3694</v>
      </c>
      <c r="B3850" s="1">
        <v>14999</v>
      </c>
      <c r="C3850" t="s">
        <v>3679</v>
      </c>
      <c r="D3850" t="s">
        <v>3680</v>
      </c>
    </row>
    <row r="3851" spans="1:4" x14ac:dyDescent="0.25">
      <c r="A3851" s="2" t="s">
        <v>3695</v>
      </c>
      <c r="B3851" s="1">
        <v>14999</v>
      </c>
      <c r="C3851" t="s">
        <v>3679</v>
      </c>
      <c r="D3851" t="s">
        <v>3680</v>
      </c>
    </row>
    <row r="3852" spans="1:4" x14ac:dyDescent="0.25">
      <c r="A3852" s="2" t="s">
        <v>3696</v>
      </c>
      <c r="B3852" s="1">
        <v>14999</v>
      </c>
      <c r="C3852" t="s">
        <v>3679</v>
      </c>
      <c r="D3852" t="s">
        <v>3680</v>
      </c>
    </row>
    <row r="3853" spans="1:4" x14ac:dyDescent="0.25">
      <c r="A3853" s="2" t="s">
        <v>3697</v>
      </c>
      <c r="B3853" s="1">
        <v>14986</v>
      </c>
      <c r="C3853" t="s">
        <v>3679</v>
      </c>
      <c r="D3853" t="s">
        <v>3680</v>
      </c>
    </row>
    <row r="3854" spans="1:4" x14ac:dyDescent="0.25">
      <c r="A3854" s="2" t="s">
        <v>3698</v>
      </c>
      <c r="B3854" s="1">
        <v>14992</v>
      </c>
      <c r="C3854" t="s">
        <v>3679</v>
      </c>
      <c r="D3854" t="s">
        <v>3680</v>
      </c>
    </row>
    <row r="3855" spans="1:4" x14ac:dyDescent="0.25">
      <c r="A3855" s="2" t="s">
        <v>3699</v>
      </c>
      <c r="B3855" s="1">
        <v>14984</v>
      </c>
      <c r="C3855" t="s">
        <v>3679</v>
      </c>
      <c r="D3855" t="s">
        <v>3680</v>
      </c>
    </row>
    <row r="3856" spans="1:4" x14ac:dyDescent="0.25">
      <c r="A3856" s="2" t="s">
        <v>3700</v>
      </c>
      <c r="B3856" s="1">
        <v>15017</v>
      </c>
      <c r="C3856" t="s">
        <v>3679</v>
      </c>
      <c r="D3856" t="s">
        <v>3680</v>
      </c>
    </row>
    <row r="3857" spans="1:4" x14ac:dyDescent="0.25">
      <c r="A3857" s="2" t="s">
        <v>3701</v>
      </c>
      <c r="B3857" s="1">
        <v>15024</v>
      </c>
      <c r="C3857" t="s">
        <v>3679</v>
      </c>
      <c r="D3857" t="s">
        <v>3680</v>
      </c>
    </row>
    <row r="3858" spans="1:4" x14ac:dyDescent="0.25">
      <c r="A3858" s="2" t="s">
        <v>3702</v>
      </c>
      <c r="B3858" s="1">
        <v>15024</v>
      </c>
      <c r="C3858" t="s">
        <v>3679</v>
      </c>
      <c r="D3858" t="s">
        <v>3680</v>
      </c>
    </row>
    <row r="3859" spans="1:4" x14ac:dyDescent="0.25">
      <c r="A3859" s="2" t="s">
        <v>3703</v>
      </c>
      <c r="B3859" s="1">
        <v>15024</v>
      </c>
      <c r="C3859" t="s">
        <v>3679</v>
      </c>
      <c r="D3859" t="s">
        <v>3680</v>
      </c>
    </row>
    <row r="3860" spans="1:4" x14ac:dyDescent="0.25">
      <c r="A3860" s="2" t="s">
        <v>3704</v>
      </c>
      <c r="B3860" s="1">
        <v>14992</v>
      </c>
      <c r="C3860" t="s">
        <v>3679</v>
      </c>
      <c r="D3860" t="s">
        <v>3680</v>
      </c>
    </row>
    <row r="3861" spans="1:4" x14ac:dyDescent="0.25">
      <c r="A3861" s="2" t="s">
        <v>3705</v>
      </c>
      <c r="B3861" s="1">
        <v>14984</v>
      </c>
      <c r="C3861" t="s">
        <v>3679</v>
      </c>
      <c r="D3861" t="s">
        <v>3680</v>
      </c>
    </row>
    <row r="3862" spans="1:4" x14ac:dyDescent="0.25">
      <c r="A3862" s="2" t="s">
        <v>3706</v>
      </c>
      <c r="B3862" s="1">
        <v>15020</v>
      </c>
      <c r="C3862" t="s">
        <v>3679</v>
      </c>
      <c r="D3862" t="s">
        <v>3680</v>
      </c>
    </row>
    <row r="3863" spans="1:4" x14ac:dyDescent="0.25">
      <c r="A3863" s="2" t="s">
        <v>3707</v>
      </c>
      <c r="B3863" s="1">
        <v>14958</v>
      </c>
      <c r="C3863" t="s">
        <v>3679</v>
      </c>
      <c r="D3863" t="s">
        <v>3680</v>
      </c>
    </row>
    <row r="3864" spans="1:4" x14ac:dyDescent="0.25">
      <c r="A3864" s="2" t="s">
        <v>3708</v>
      </c>
      <c r="B3864" s="1">
        <v>14860</v>
      </c>
      <c r="C3864" t="s">
        <v>3679</v>
      </c>
      <c r="D3864" t="s">
        <v>3680</v>
      </c>
    </row>
    <row r="3865" spans="1:4" x14ac:dyDescent="0.25">
      <c r="A3865" s="2" t="s">
        <v>3709</v>
      </c>
      <c r="B3865" s="1">
        <v>14860</v>
      </c>
      <c r="C3865" t="s">
        <v>3679</v>
      </c>
      <c r="D3865" t="s">
        <v>3680</v>
      </c>
    </row>
    <row r="3866" spans="1:4" x14ac:dyDescent="0.25">
      <c r="A3866" s="2" t="s">
        <v>3710</v>
      </c>
      <c r="B3866" s="1">
        <v>14860</v>
      </c>
      <c r="C3866" t="s">
        <v>3679</v>
      </c>
      <c r="D3866" t="s">
        <v>3680</v>
      </c>
    </row>
    <row r="3867" spans="1:4" x14ac:dyDescent="0.25">
      <c r="A3867" s="2" t="s">
        <v>3711</v>
      </c>
      <c r="B3867" s="1">
        <v>14874</v>
      </c>
      <c r="C3867" t="s">
        <v>3712</v>
      </c>
      <c r="D3867" t="s">
        <v>3680</v>
      </c>
    </row>
    <row r="3868" spans="1:4" x14ac:dyDescent="0.25">
      <c r="A3868" s="2" t="s">
        <v>3713</v>
      </c>
      <c r="B3868" s="1">
        <v>14888</v>
      </c>
      <c r="C3868" t="s">
        <v>3712</v>
      </c>
      <c r="D3868" t="s">
        <v>3680</v>
      </c>
    </row>
    <row r="3869" spans="1:4" x14ac:dyDescent="0.25">
      <c r="A3869" s="2" t="s">
        <v>3714</v>
      </c>
      <c r="B3869" s="1">
        <v>14917</v>
      </c>
      <c r="C3869" t="s">
        <v>3712</v>
      </c>
      <c r="D3869" t="s">
        <v>3680</v>
      </c>
    </row>
    <row r="3870" spans="1:4" x14ac:dyDescent="0.25">
      <c r="A3870" s="2" t="s">
        <v>3715</v>
      </c>
      <c r="B3870" s="1">
        <v>14929</v>
      </c>
      <c r="C3870" t="s">
        <v>3712</v>
      </c>
      <c r="D3870" t="s">
        <v>3680</v>
      </c>
    </row>
    <row r="3871" spans="1:4" x14ac:dyDescent="0.25">
      <c r="A3871" s="2" t="s">
        <v>3716</v>
      </c>
      <c r="B3871" s="1">
        <v>14904</v>
      </c>
      <c r="C3871" t="s">
        <v>3712</v>
      </c>
      <c r="D3871" t="s">
        <v>3680</v>
      </c>
    </row>
    <row r="3872" spans="1:4" x14ac:dyDescent="0.25">
      <c r="A3872" s="2" t="s">
        <v>3717</v>
      </c>
      <c r="B3872" s="1">
        <v>14904</v>
      </c>
      <c r="C3872" t="s">
        <v>3712</v>
      </c>
      <c r="D3872" t="s">
        <v>3680</v>
      </c>
    </row>
    <row r="3873" spans="1:4" x14ac:dyDescent="0.25">
      <c r="A3873" s="2" t="s">
        <v>3718</v>
      </c>
      <c r="B3873" s="1">
        <v>14904</v>
      </c>
      <c r="C3873" t="s">
        <v>3712</v>
      </c>
      <c r="D3873" t="s">
        <v>3680</v>
      </c>
    </row>
    <row r="3874" spans="1:4" x14ac:dyDescent="0.25">
      <c r="A3874" s="2" t="s">
        <v>3719</v>
      </c>
      <c r="B3874" s="1">
        <v>14915</v>
      </c>
      <c r="C3874" t="s">
        <v>3712</v>
      </c>
      <c r="D3874" t="s">
        <v>3680</v>
      </c>
    </row>
    <row r="3875" spans="1:4" x14ac:dyDescent="0.25">
      <c r="A3875" s="2" t="s">
        <v>3720</v>
      </c>
      <c r="B3875" s="1">
        <v>14862</v>
      </c>
      <c r="C3875" t="s">
        <v>3712</v>
      </c>
      <c r="D3875" t="s">
        <v>3680</v>
      </c>
    </row>
    <row r="3876" spans="1:4" x14ac:dyDescent="0.25">
      <c r="A3876" s="2" t="s">
        <v>3721</v>
      </c>
      <c r="B3876" s="1">
        <v>14875</v>
      </c>
      <c r="C3876" t="s">
        <v>3712</v>
      </c>
      <c r="D3876" t="s">
        <v>3680</v>
      </c>
    </row>
    <row r="3877" spans="1:4" x14ac:dyDescent="0.25">
      <c r="A3877" s="2" t="s">
        <v>3722</v>
      </c>
      <c r="B3877" s="1">
        <v>14799</v>
      </c>
      <c r="C3877" t="s">
        <v>3712</v>
      </c>
      <c r="D3877" t="s">
        <v>3680</v>
      </c>
    </row>
    <row r="3878" spans="1:4" x14ac:dyDescent="0.25">
      <c r="A3878" s="2" t="s">
        <v>3723</v>
      </c>
      <c r="B3878" s="1">
        <v>14688</v>
      </c>
      <c r="C3878" t="s">
        <v>3712</v>
      </c>
      <c r="D3878" t="s">
        <v>3680</v>
      </c>
    </row>
    <row r="3879" spans="1:4" x14ac:dyDescent="0.25">
      <c r="A3879" s="2" t="s">
        <v>3724</v>
      </c>
      <c r="B3879" s="1">
        <v>14688</v>
      </c>
      <c r="C3879" t="s">
        <v>3712</v>
      </c>
      <c r="D3879" t="s">
        <v>3680</v>
      </c>
    </row>
    <row r="3880" spans="1:4" x14ac:dyDescent="0.25">
      <c r="A3880" s="2" t="s">
        <v>3725</v>
      </c>
      <c r="B3880" s="1">
        <v>14688</v>
      </c>
      <c r="C3880" t="s">
        <v>3712</v>
      </c>
      <c r="D3880" t="s">
        <v>3680</v>
      </c>
    </row>
    <row r="3881" spans="1:4" x14ac:dyDescent="0.25">
      <c r="A3881" s="2" t="s">
        <v>3726</v>
      </c>
      <c r="B3881" s="1">
        <v>14727</v>
      </c>
      <c r="C3881" t="s">
        <v>3712</v>
      </c>
      <c r="D3881" t="s">
        <v>3680</v>
      </c>
    </row>
    <row r="3882" spans="1:4" x14ac:dyDescent="0.25">
      <c r="A3882" s="2" t="s">
        <v>3727</v>
      </c>
      <c r="B3882" s="1">
        <v>14767</v>
      </c>
      <c r="C3882" t="s">
        <v>3712</v>
      </c>
      <c r="D3882" t="s">
        <v>3680</v>
      </c>
    </row>
    <row r="3883" spans="1:4" x14ac:dyDescent="0.25">
      <c r="A3883" s="2" t="s">
        <v>3728</v>
      </c>
      <c r="B3883" s="1">
        <v>14767</v>
      </c>
      <c r="C3883" t="s">
        <v>3712</v>
      </c>
      <c r="D3883" t="s">
        <v>3680</v>
      </c>
    </row>
    <row r="3884" spans="1:4" x14ac:dyDescent="0.25">
      <c r="A3884" s="2" t="s">
        <v>3729</v>
      </c>
      <c r="B3884" s="1">
        <v>14822</v>
      </c>
      <c r="C3884" t="s">
        <v>3712</v>
      </c>
      <c r="D3884" t="s">
        <v>3680</v>
      </c>
    </row>
    <row r="3885" spans="1:4" x14ac:dyDescent="0.25">
      <c r="A3885" s="2" t="s">
        <v>3730</v>
      </c>
      <c r="B3885" s="1">
        <v>14858</v>
      </c>
      <c r="C3885" t="s">
        <v>3712</v>
      </c>
      <c r="D3885" t="s">
        <v>3680</v>
      </c>
    </row>
    <row r="3886" spans="1:4" x14ac:dyDescent="0.25">
      <c r="A3886" s="2" t="s">
        <v>3731</v>
      </c>
      <c r="B3886" s="1">
        <v>14858</v>
      </c>
      <c r="C3886" t="s">
        <v>3712</v>
      </c>
      <c r="D3886" t="s">
        <v>3680</v>
      </c>
    </row>
    <row r="3887" spans="1:4" x14ac:dyDescent="0.25">
      <c r="A3887" s="2" t="s">
        <v>3732</v>
      </c>
      <c r="B3887" s="1">
        <v>14858</v>
      </c>
      <c r="C3887" t="s">
        <v>3712</v>
      </c>
      <c r="D3887" t="s">
        <v>3680</v>
      </c>
    </row>
    <row r="3888" spans="1:4" x14ac:dyDescent="0.25">
      <c r="A3888" s="2" t="s">
        <v>3733</v>
      </c>
      <c r="B3888" s="1">
        <v>14882</v>
      </c>
      <c r="C3888" t="s">
        <v>3712</v>
      </c>
      <c r="D3888" t="s">
        <v>3680</v>
      </c>
    </row>
    <row r="3889" spans="1:4" x14ac:dyDescent="0.25">
      <c r="A3889" s="2" t="s">
        <v>3734</v>
      </c>
      <c r="B3889" s="1">
        <v>14893</v>
      </c>
      <c r="C3889" t="s">
        <v>3712</v>
      </c>
      <c r="D3889" t="s">
        <v>3680</v>
      </c>
    </row>
    <row r="3890" spans="1:4" x14ac:dyDescent="0.25">
      <c r="A3890" s="2" t="s">
        <v>3735</v>
      </c>
      <c r="B3890" s="1">
        <v>14851</v>
      </c>
      <c r="C3890" t="s">
        <v>3712</v>
      </c>
      <c r="D3890" t="s">
        <v>3680</v>
      </c>
    </row>
    <row r="3891" spans="1:4" x14ac:dyDescent="0.25">
      <c r="A3891" s="2" t="s">
        <v>3736</v>
      </c>
      <c r="B3891" s="1">
        <v>14827</v>
      </c>
      <c r="C3891" t="s">
        <v>3712</v>
      </c>
      <c r="D3891" t="s">
        <v>3680</v>
      </c>
    </row>
    <row r="3892" spans="1:4" x14ac:dyDescent="0.25">
      <c r="A3892" s="2" t="s">
        <v>3737</v>
      </c>
      <c r="B3892" s="1">
        <v>14814</v>
      </c>
      <c r="C3892" t="s">
        <v>3712</v>
      </c>
      <c r="D3892" t="s">
        <v>3680</v>
      </c>
    </row>
    <row r="3893" spans="1:4" x14ac:dyDescent="0.25">
      <c r="A3893" s="2" t="s">
        <v>3738</v>
      </c>
      <c r="B3893" s="1">
        <v>14814</v>
      </c>
      <c r="C3893" t="s">
        <v>3712</v>
      </c>
      <c r="D3893" t="s">
        <v>3680</v>
      </c>
    </row>
    <row r="3894" spans="1:4" x14ac:dyDescent="0.25">
      <c r="A3894" s="2" t="s">
        <v>3739</v>
      </c>
      <c r="B3894" s="1">
        <v>14814</v>
      </c>
      <c r="C3894" t="s">
        <v>3712</v>
      </c>
      <c r="D3894" t="s">
        <v>3680</v>
      </c>
    </row>
    <row r="3895" spans="1:4" x14ac:dyDescent="0.25">
      <c r="A3895" s="2" t="s">
        <v>3740</v>
      </c>
      <c r="B3895" s="1">
        <v>14887</v>
      </c>
      <c r="C3895" t="s">
        <v>3712</v>
      </c>
      <c r="D3895" t="s">
        <v>3680</v>
      </c>
    </row>
    <row r="3896" spans="1:4" x14ac:dyDescent="0.25">
      <c r="A3896" s="2" t="s">
        <v>3741</v>
      </c>
      <c r="B3896" s="1">
        <v>14875</v>
      </c>
      <c r="C3896" t="s">
        <v>3712</v>
      </c>
      <c r="D3896" t="s">
        <v>3680</v>
      </c>
    </row>
    <row r="3897" spans="1:4" x14ac:dyDescent="0.25">
      <c r="A3897" s="2" t="s">
        <v>3742</v>
      </c>
      <c r="B3897" s="1">
        <v>14853</v>
      </c>
      <c r="C3897" t="s">
        <v>3712</v>
      </c>
      <c r="D3897" t="s">
        <v>3680</v>
      </c>
    </row>
    <row r="3898" spans="1:4" x14ac:dyDescent="0.25">
      <c r="A3898" s="2" t="s">
        <v>3743</v>
      </c>
      <c r="B3898" s="1">
        <v>14884</v>
      </c>
      <c r="C3898" t="s">
        <v>3744</v>
      </c>
      <c r="D3898" t="s">
        <v>3680</v>
      </c>
    </row>
    <row r="3899" spans="1:4" x14ac:dyDescent="0.25">
      <c r="A3899" s="2" t="s">
        <v>3745</v>
      </c>
      <c r="B3899" s="1">
        <v>14900</v>
      </c>
      <c r="C3899" t="s">
        <v>3744</v>
      </c>
      <c r="D3899" t="s">
        <v>3680</v>
      </c>
    </row>
    <row r="3900" spans="1:4" x14ac:dyDescent="0.25">
      <c r="A3900" s="2" t="s">
        <v>3746</v>
      </c>
      <c r="B3900" s="1">
        <v>14900</v>
      </c>
      <c r="C3900" t="s">
        <v>3744</v>
      </c>
      <c r="D3900" t="s">
        <v>3680</v>
      </c>
    </row>
    <row r="3901" spans="1:4" x14ac:dyDescent="0.25">
      <c r="A3901" s="2" t="s">
        <v>3747</v>
      </c>
      <c r="B3901" s="1">
        <v>14900</v>
      </c>
      <c r="C3901" t="s">
        <v>3744</v>
      </c>
      <c r="D3901" t="s">
        <v>3680</v>
      </c>
    </row>
    <row r="3902" spans="1:4" x14ac:dyDescent="0.25">
      <c r="A3902" s="2" t="s">
        <v>3748</v>
      </c>
      <c r="B3902" s="1">
        <v>14920</v>
      </c>
      <c r="C3902" t="s">
        <v>3744</v>
      </c>
      <c r="D3902" t="s">
        <v>3680</v>
      </c>
    </row>
    <row r="3903" spans="1:4" x14ac:dyDescent="0.25">
      <c r="A3903" s="2" t="s">
        <v>3749</v>
      </c>
      <c r="B3903" s="1">
        <v>14885</v>
      </c>
      <c r="C3903" t="s">
        <v>3744</v>
      </c>
      <c r="D3903" t="s">
        <v>3680</v>
      </c>
    </row>
    <row r="3904" spans="1:4" x14ac:dyDescent="0.25">
      <c r="A3904" s="2" t="s">
        <v>3750</v>
      </c>
      <c r="B3904" s="1">
        <v>14927</v>
      </c>
      <c r="C3904" t="s">
        <v>3744</v>
      </c>
      <c r="D3904" t="s">
        <v>3680</v>
      </c>
    </row>
    <row r="3905" spans="1:4" x14ac:dyDescent="0.25">
      <c r="A3905" s="2" t="s">
        <v>3751</v>
      </c>
      <c r="B3905" s="1">
        <v>14905</v>
      </c>
      <c r="C3905" t="s">
        <v>3744</v>
      </c>
      <c r="D3905" t="s">
        <v>3680</v>
      </c>
    </row>
    <row r="3906" spans="1:4" x14ac:dyDescent="0.25">
      <c r="A3906" s="2" t="s">
        <v>3752</v>
      </c>
      <c r="B3906" s="1">
        <v>14846</v>
      </c>
      <c r="C3906" t="s">
        <v>3744</v>
      </c>
      <c r="D3906" t="s">
        <v>3680</v>
      </c>
    </row>
    <row r="3907" spans="1:4" x14ac:dyDescent="0.25">
      <c r="A3907" s="2" t="s">
        <v>3753</v>
      </c>
      <c r="B3907" s="1">
        <v>14846</v>
      </c>
      <c r="C3907" t="s">
        <v>3744</v>
      </c>
      <c r="D3907" t="s">
        <v>3680</v>
      </c>
    </row>
    <row r="3908" spans="1:4" x14ac:dyDescent="0.25">
      <c r="A3908" s="2" t="s">
        <v>3754</v>
      </c>
      <c r="B3908" s="1">
        <v>14846</v>
      </c>
      <c r="C3908" t="s">
        <v>3744</v>
      </c>
      <c r="D3908" t="s">
        <v>3680</v>
      </c>
    </row>
    <row r="3909" spans="1:4" x14ac:dyDescent="0.25">
      <c r="A3909" s="2" t="s">
        <v>3755</v>
      </c>
      <c r="B3909" s="1">
        <v>14839</v>
      </c>
      <c r="C3909" t="s">
        <v>3744</v>
      </c>
      <c r="D3909" t="s">
        <v>3680</v>
      </c>
    </row>
    <row r="3910" spans="1:4" x14ac:dyDescent="0.25">
      <c r="A3910" s="2" t="s">
        <v>3756</v>
      </c>
      <c r="B3910" s="1">
        <v>14861</v>
      </c>
      <c r="C3910" t="s">
        <v>3744</v>
      </c>
      <c r="D3910" t="s">
        <v>3680</v>
      </c>
    </row>
    <row r="3911" spans="1:4" x14ac:dyDescent="0.25">
      <c r="A3911" s="2" t="s">
        <v>3757</v>
      </c>
      <c r="B3911" s="1">
        <v>14923</v>
      </c>
      <c r="C3911" t="s">
        <v>3744</v>
      </c>
      <c r="D3911" t="s">
        <v>3680</v>
      </c>
    </row>
    <row r="3912" spans="1:4" x14ac:dyDescent="0.25">
      <c r="A3912" s="2" t="s">
        <v>3758</v>
      </c>
      <c r="B3912" s="1">
        <v>14899</v>
      </c>
      <c r="C3912" t="s">
        <v>3744</v>
      </c>
      <c r="D3912" t="s">
        <v>3680</v>
      </c>
    </row>
    <row r="3913" spans="1:4" x14ac:dyDescent="0.25">
      <c r="A3913" s="2" t="s">
        <v>3759</v>
      </c>
      <c r="B3913" s="1">
        <v>14939</v>
      </c>
      <c r="C3913" t="s">
        <v>3744</v>
      </c>
      <c r="D3913" t="s">
        <v>3680</v>
      </c>
    </row>
    <row r="3914" spans="1:4" x14ac:dyDescent="0.25">
      <c r="A3914" s="2" t="s">
        <v>3760</v>
      </c>
      <c r="B3914" s="1">
        <v>14939</v>
      </c>
      <c r="C3914" t="s">
        <v>3744</v>
      </c>
      <c r="D3914" t="s">
        <v>3680</v>
      </c>
    </row>
    <row r="3915" spans="1:4" x14ac:dyDescent="0.25">
      <c r="A3915" s="2" t="s">
        <v>3761</v>
      </c>
      <c r="B3915" s="1">
        <v>14939</v>
      </c>
      <c r="C3915" t="s">
        <v>3744</v>
      </c>
      <c r="D3915" t="s">
        <v>3680</v>
      </c>
    </row>
    <row r="3916" spans="1:4" x14ac:dyDescent="0.25">
      <c r="A3916" s="2" t="s">
        <v>3762</v>
      </c>
      <c r="B3916" s="1">
        <v>14980</v>
      </c>
      <c r="C3916" t="s">
        <v>3744</v>
      </c>
      <c r="D3916" t="s">
        <v>3680</v>
      </c>
    </row>
    <row r="3917" spans="1:4" x14ac:dyDescent="0.25">
      <c r="A3917" s="2" t="s">
        <v>3763</v>
      </c>
      <c r="B3917" s="1">
        <v>14975</v>
      </c>
      <c r="C3917" t="s">
        <v>3744</v>
      </c>
      <c r="D3917" t="s">
        <v>3680</v>
      </c>
    </row>
    <row r="3918" spans="1:4" x14ac:dyDescent="0.25">
      <c r="A3918" s="2" t="s">
        <v>3764</v>
      </c>
      <c r="B3918" s="1">
        <v>15011</v>
      </c>
      <c r="C3918" t="s">
        <v>3744</v>
      </c>
      <c r="D3918" t="s">
        <v>3680</v>
      </c>
    </row>
    <row r="3919" spans="1:4" x14ac:dyDescent="0.25">
      <c r="A3919" s="2" t="s">
        <v>3765</v>
      </c>
      <c r="B3919" s="1">
        <v>15033</v>
      </c>
      <c r="C3919" t="s">
        <v>3744</v>
      </c>
      <c r="D3919" t="s">
        <v>3680</v>
      </c>
    </row>
    <row r="3920" spans="1:4" x14ac:dyDescent="0.25">
      <c r="A3920" s="2" t="s">
        <v>3766</v>
      </c>
      <c r="B3920" s="1">
        <v>15035</v>
      </c>
      <c r="C3920" t="s">
        <v>3744</v>
      </c>
      <c r="D3920" t="s">
        <v>3680</v>
      </c>
    </row>
    <row r="3921" spans="1:4" x14ac:dyDescent="0.25">
      <c r="A3921" s="2" t="s">
        <v>3767</v>
      </c>
      <c r="B3921" s="1">
        <v>15035</v>
      </c>
      <c r="C3921" t="s">
        <v>3744</v>
      </c>
      <c r="D3921" t="s">
        <v>3680</v>
      </c>
    </row>
    <row r="3922" spans="1:4" x14ac:dyDescent="0.25">
      <c r="A3922" s="2" t="s">
        <v>3768</v>
      </c>
      <c r="B3922" s="1">
        <v>15035</v>
      </c>
      <c r="C3922" t="s">
        <v>3744</v>
      </c>
      <c r="D3922" t="s">
        <v>3680</v>
      </c>
    </row>
    <row r="3923" spans="1:4" x14ac:dyDescent="0.25">
      <c r="A3923" s="2" t="s">
        <v>3769</v>
      </c>
      <c r="B3923" s="1">
        <v>15119</v>
      </c>
      <c r="C3923" t="s">
        <v>3744</v>
      </c>
      <c r="D3923" t="s">
        <v>3680</v>
      </c>
    </row>
    <row r="3924" spans="1:4" x14ac:dyDescent="0.25">
      <c r="A3924" s="2" t="s">
        <v>3770</v>
      </c>
      <c r="B3924" s="1">
        <v>15155</v>
      </c>
      <c r="C3924" t="s">
        <v>3744</v>
      </c>
      <c r="D3924" t="s">
        <v>3680</v>
      </c>
    </row>
    <row r="3925" spans="1:4" x14ac:dyDescent="0.25">
      <c r="A3925" s="2" t="s">
        <v>3771</v>
      </c>
      <c r="B3925" s="1">
        <v>15243</v>
      </c>
      <c r="C3925" t="s">
        <v>3744</v>
      </c>
      <c r="D3925" t="s">
        <v>3680</v>
      </c>
    </row>
    <row r="3926" spans="1:4" x14ac:dyDescent="0.25">
      <c r="A3926" s="2" t="s">
        <v>3772</v>
      </c>
      <c r="B3926" s="1">
        <v>15247</v>
      </c>
      <c r="C3926" t="s">
        <v>3744</v>
      </c>
      <c r="D3926" t="s">
        <v>3680</v>
      </c>
    </row>
    <row r="3927" spans="1:4" x14ac:dyDescent="0.25">
      <c r="A3927" s="2" t="s">
        <v>3773</v>
      </c>
      <c r="B3927" s="1">
        <v>15232</v>
      </c>
      <c r="C3927" t="s">
        <v>3744</v>
      </c>
      <c r="D3927" t="s">
        <v>3680</v>
      </c>
    </row>
    <row r="3928" spans="1:4" x14ac:dyDescent="0.25">
      <c r="A3928" s="2" t="s">
        <v>3774</v>
      </c>
      <c r="B3928" s="1">
        <v>15232</v>
      </c>
      <c r="C3928" t="s">
        <v>3775</v>
      </c>
      <c r="D3928" t="s">
        <v>3776</v>
      </c>
    </row>
    <row r="3929" spans="1:4" x14ac:dyDescent="0.25">
      <c r="A3929" s="2" t="s">
        <v>3777</v>
      </c>
      <c r="B3929" s="1">
        <v>15232</v>
      </c>
      <c r="C3929" t="s">
        <v>3775</v>
      </c>
      <c r="D3929" t="s">
        <v>3776</v>
      </c>
    </row>
    <row r="3930" spans="1:4" x14ac:dyDescent="0.25">
      <c r="A3930" s="2" t="s">
        <v>3778</v>
      </c>
      <c r="B3930" s="1">
        <v>15293</v>
      </c>
      <c r="C3930" t="s">
        <v>3775</v>
      </c>
      <c r="D3930" t="s">
        <v>3776</v>
      </c>
    </row>
    <row r="3931" spans="1:4" x14ac:dyDescent="0.25">
      <c r="A3931" s="2" t="s">
        <v>3779</v>
      </c>
      <c r="B3931" s="1">
        <v>15276</v>
      </c>
      <c r="C3931" t="s">
        <v>3775</v>
      </c>
      <c r="D3931" t="s">
        <v>3776</v>
      </c>
    </row>
    <row r="3932" spans="1:4" x14ac:dyDescent="0.25">
      <c r="A3932" s="2" t="s">
        <v>3780</v>
      </c>
      <c r="B3932" s="1">
        <v>15196</v>
      </c>
      <c r="C3932" t="s">
        <v>3775</v>
      </c>
      <c r="D3932" t="s">
        <v>3776</v>
      </c>
    </row>
    <row r="3933" spans="1:4" x14ac:dyDescent="0.25">
      <c r="A3933" s="2" t="s">
        <v>3781</v>
      </c>
      <c r="B3933" s="1">
        <v>15197</v>
      </c>
      <c r="C3933" t="s">
        <v>3775</v>
      </c>
      <c r="D3933" t="s">
        <v>3776</v>
      </c>
    </row>
    <row r="3934" spans="1:4" x14ac:dyDescent="0.25">
      <c r="A3934" s="2" t="s">
        <v>3782</v>
      </c>
      <c r="B3934" s="1">
        <v>15246</v>
      </c>
      <c r="C3934" t="s">
        <v>3775</v>
      </c>
      <c r="D3934" t="s">
        <v>3776</v>
      </c>
    </row>
    <row r="3935" spans="1:4" x14ac:dyDescent="0.25">
      <c r="A3935" s="2" t="s">
        <v>3783</v>
      </c>
      <c r="B3935" s="1">
        <v>15246</v>
      </c>
      <c r="C3935" t="s">
        <v>3775</v>
      </c>
      <c r="D3935" t="s">
        <v>3776</v>
      </c>
    </row>
    <row r="3936" spans="1:4" x14ac:dyDescent="0.25">
      <c r="A3936" s="2" t="s">
        <v>3784</v>
      </c>
      <c r="B3936" s="1">
        <v>15246</v>
      </c>
      <c r="C3936" t="s">
        <v>3775</v>
      </c>
      <c r="D3936" t="s">
        <v>3776</v>
      </c>
    </row>
    <row r="3937" spans="1:4" x14ac:dyDescent="0.25">
      <c r="A3937" s="2" t="s">
        <v>3785</v>
      </c>
      <c r="B3937" s="1">
        <v>15299</v>
      </c>
      <c r="C3937" t="s">
        <v>3775</v>
      </c>
      <c r="D3937" t="s">
        <v>3776</v>
      </c>
    </row>
    <row r="3938" spans="1:4" x14ac:dyDescent="0.25">
      <c r="A3938" s="2" t="s">
        <v>3786</v>
      </c>
      <c r="B3938" s="1">
        <v>15362</v>
      </c>
      <c r="C3938" t="s">
        <v>3775</v>
      </c>
      <c r="D3938" t="s">
        <v>3776</v>
      </c>
    </row>
    <row r="3939" spans="1:4" x14ac:dyDescent="0.25">
      <c r="A3939" s="2" t="s">
        <v>3787</v>
      </c>
      <c r="B3939" s="1">
        <v>15373</v>
      </c>
      <c r="C3939" t="s">
        <v>3775</v>
      </c>
      <c r="D3939" t="s">
        <v>3776</v>
      </c>
    </row>
    <row r="3940" spans="1:4" x14ac:dyDescent="0.25">
      <c r="A3940" s="2" t="s">
        <v>3788</v>
      </c>
      <c r="B3940" s="1">
        <v>15357</v>
      </c>
      <c r="C3940" t="s">
        <v>3775</v>
      </c>
      <c r="D3940" t="s">
        <v>3776</v>
      </c>
    </row>
    <row r="3941" spans="1:4" x14ac:dyDescent="0.25">
      <c r="A3941" s="2" t="s">
        <v>3789</v>
      </c>
      <c r="B3941" s="1">
        <v>15390</v>
      </c>
      <c r="C3941" t="s">
        <v>3775</v>
      </c>
      <c r="D3941" t="s">
        <v>3776</v>
      </c>
    </row>
    <row r="3942" spans="1:4" x14ac:dyDescent="0.25">
      <c r="A3942" s="2" t="s">
        <v>3790</v>
      </c>
      <c r="B3942" s="1">
        <v>15390</v>
      </c>
      <c r="C3942" t="s">
        <v>3775</v>
      </c>
      <c r="D3942" t="s">
        <v>3776</v>
      </c>
    </row>
    <row r="3943" spans="1:4" x14ac:dyDescent="0.25">
      <c r="A3943" s="2" t="s">
        <v>3791</v>
      </c>
      <c r="B3943" s="1">
        <v>15390</v>
      </c>
      <c r="C3943" t="s">
        <v>3775</v>
      </c>
      <c r="D3943" t="s">
        <v>3776</v>
      </c>
    </row>
    <row r="3944" spans="1:4" x14ac:dyDescent="0.25">
      <c r="A3944" s="2" t="s">
        <v>3792</v>
      </c>
      <c r="B3944" s="1">
        <v>15480</v>
      </c>
      <c r="C3944" t="s">
        <v>3775</v>
      </c>
      <c r="D3944" t="s">
        <v>3776</v>
      </c>
    </row>
    <row r="3945" spans="1:4" x14ac:dyDescent="0.25">
      <c r="A3945" s="2" t="s">
        <v>3793</v>
      </c>
      <c r="B3945" s="1">
        <v>15469</v>
      </c>
      <c r="C3945" t="s">
        <v>3775</v>
      </c>
      <c r="D3945" t="s">
        <v>3776</v>
      </c>
    </row>
    <row r="3946" spans="1:4" x14ac:dyDescent="0.25">
      <c r="A3946" s="2" t="s">
        <v>3794</v>
      </c>
      <c r="B3946" s="1">
        <v>15491</v>
      </c>
      <c r="C3946" t="s">
        <v>3775</v>
      </c>
      <c r="D3946" t="s">
        <v>3776</v>
      </c>
    </row>
    <row r="3947" spans="1:4" x14ac:dyDescent="0.25">
      <c r="A3947" s="2" t="s">
        <v>3795</v>
      </c>
      <c r="B3947" s="1">
        <v>15579</v>
      </c>
      <c r="C3947" t="s">
        <v>3775</v>
      </c>
      <c r="D3947" t="s">
        <v>3776</v>
      </c>
    </row>
    <row r="3948" spans="1:4" x14ac:dyDescent="0.25">
      <c r="A3948" s="2" t="s">
        <v>3796</v>
      </c>
      <c r="B3948" s="1">
        <v>15610</v>
      </c>
      <c r="C3948" t="s">
        <v>3775</v>
      </c>
      <c r="D3948" t="s">
        <v>3776</v>
      </c>
    </row>
    <row r="3949" spans="1:4" x14ac:dyDescent="0.25">
      <c r="A3949" s="2" t="s">
        <v>3797</v>
      </c>
      <c r="B3949" s="1">
        <v>15610</v>
      </c>
      <c r="C3949" t="s">
        <v>3775</v>
      </c>
      <c r="D3949" t="s">
        <v>3776</v>
      </c>
    </row>
    <row r="3950" spans="1:4" x14ac:dyDescent="0.25">
      <c r="A3950" s="2" t="s">
        <v>3798</v>
      </c>
      <c r="B3950" s="1">
        <v>15610</v>
      </c>
      <c r="C3950" t="s">
        <v>3775</v>
      </c>
      <c r="D3950" t="s">
        <v>3776</v>
      </c>
    </row>
    <row r="3951" spans="1:4" x14ac:dyDescent="0.25">
      <c r="A3951" s="2" t="s">
        <v>3799</v>
      </c>
      <c r="B3951" s="1">
        <v>15590</v>
      </c>
      <c r="C3951" t="s">
        <v>3775</v>
      </c>
      <c r="D3951" t="s">
        <v>3776</v>
      </c>
    </row>
    <row r="3952" spans="1:4" x14ac:dyDescent="0.25">
      <c r="A3952" s="2" t="s">
        <v>3800</v>
      </c>
      <c r="B3952" s="1">
        <v>15616</v>
      </c>
      <c r="C3952" t="s">
        <v>3775</v>
      </c>
      <c r="D3952" t="s">
        <v>3776</v>
      </c>
    </row>
    <row r="3953" spans="1:4" x14ac:dyDescent="0.25">
      <c r="A3953" s="2" t="s">
        <v>3801</v>
      </c>
      <c r="B3953" s="1">
        <v>15596</v>
      </c>
      <c r="C3953" t="s">
        <v>3775</v>
      </c>
      <c r="D3953" t="s">
        <v>3776</v>
      </c>
    </row>
    <row r="3954" spans="1:4" x14ac:dyDescent="0.25">
      <c r="A3954" s="2" t="s">
        <v>3802</v>
      </c>
      <c r="B3954" s="1">
        <v>15573</v>
      </c>
      <c r="C3954" t="s">
        <v>3775</v>
      </c>
      <c r="D3954" t="s">
        <v>3776</v>
      </c>
    </row>
    <row r="3955" spans="1:4" x14ac:dyDescent="0.25">
      <c r="A3955" s="2" t="s">
        <v>3803</v>
      </c>
      <c r="B3955" s="1">
        <v>15542</v>
      </c>
      <c r="C3955" t="s">
        <v>3775</v>
      </c>
      <c r="D3955" t="s">
        <v>3776</v>
      </c>
    </row>
    <row r="3956" spans="1:4" x14ac:dyDescent="0.25">
      <c r="A3956" s="2" t="s">
        <v>3804</v>
      </c>
      <c r="B3956" s="1">
        <v>15542</v>
      </c>
      <c r="C3956" t="s">
        <v>3775</v>
      </c>
      <c r="D3956" t="s">
        <v>3776</v>
      </c>
    </row>
    <row r="3957" spans="1:4" x14ac:dyDescent="0.25">
      <c r="A3957" s="2" t="s">
        <v>3805</v>
      </c>
      <c r="B3957" s="1">
        <v>15542</v>
      </c>
      <c r="C3957" t="s">
        <v>3775</v>
      </c>
      <c r="D3957" t="s">
        <v>3776</v>
      </c>
    </row>
    <row r="3958" spans="1:4" x14ac:dyDescent="0.25">
      <c r="A3958" s="2" t="s">
        <v>3806</v>
      </c>
      <c r="B3958" s="1">
        <v>15596</v>
      </c>
      <c r="C3958" t="s">
        <v>3775</v>
      </c>
      <c r="D3958" t="s">
        <v>3776</v>
      </c>
    </row>
    <row r="3959" spans="1:4" x14ac:dyDescent="0.25">
      <c r="A3959" s="2" t="s">
        <v>3807</v>
      </c>
      <c r="B3959" s="1">
        <v>15647</v>
      </c>
      <c r="C3959" t="s">
        <v>3808</v>
      </c>
      <c r="D3959" t="s">
        <v>3776</v>
      </c>
    </row>
    <row r="3960" spans="1:4" x14ac:dyDescent="0.25">
      <c r="A3960" s="2" t="s">
        <v>3809</v>
      </c>
      <c r="B3960" s="1">
        <v>15652</v>
      </c>
      <c r="C3960" t="s">
        <v>3808</v>
      </c>
      <c r="D3960" t="s">
        <v>3776</v>
      </c>
    </row>
    <row r="3961" spans="1:4" x14ac:dyDescent="0.25">
      <c r="A3961" s="2" t="s">
        <v>3810</v>
      </c>
      <c r="B3961" s="1">
        <v>15681</v>
      </c>
      <c r="C3961" t="s">
        <v>3808</v>
      </c>
      <c r="D3961" t="s">
        <v>3776</v>
      </c>
    </row>
    <row r="3962" spans="1:4" x14ac:dyDescent="0.25">
      <c r="A3962" s="2" t="s">
        <v>3811</v>
      </c>
      <c r="B3962" s="1">
        <v>15736</v>
      </c>
      <c r="C3962" t="s">
        <v>3808</v>
      </c>
      <c r="D3962" t="s">
        <v>3776</v>
      </c>
    </row>
    <row r="3963" spans="1:4" x14ac:dyDescent="0.25">
      <c r="A3963" s="2" t="s">
        <v>3812</v>
      </c>
      <c r="B3963" s="1">
        <v>15736</v>
      </c>
      <c r="C3963" t="s">
        <v>3808</v>
      </c>
      <c r="D3963" t="s">
        <v>3776</v>
      </c>
    </row>
    <row r="3964" spans="1:4" x14ac:dyDescent="0.25">
      <c r="A3964" s="2" t="s">
        <v>3813</v>
      </c>
      <c r="B3964" s="1">
        <v>15736</v>
      </c>
      <c r="C3964" t="s">
        <v>3808</v>
      </c>
      <c r="D3964" t="s">
        <v>3776</v>
      </c>
    </row>
    <row r="3965" spans="1:4" x14ac:dyDescent="0.25">
      <c r="A3965" s="2" t="s">
        <v>3814</v>
      </c>
      <c r="B3965" s="1">
        <v>15692</v>
      </c>
      <c r="C3965" t="s">
        <v>3808</v>
      </c>
      <c r="D3965" t="s">
        <v>3776</v>
      </c>
    </row>
    <row r="3966" spans="1:4" x14ac:dyDescent="0.25">
      <c r="A3966" s="2" t="s">
        <v>3815</v>
      </c>
      <c r="B3966" s="1">
        <v>15684</v>
      </c>
      <c r="C3966" t="s">
        <v>3808</v>
      </c>
      <c r="D3966" t="s">
        <v>3776</v>
      </c>
    </row>
    <row r="3967" spans="1:4" x14ac:dyDescent="0.25">
      <c r="A3967" s="2" t="s">
        <v>3816</v>
      </c>
      <c r="B3967" s="1">
        <v>15654</v>
      </c>
      <c r="C3967" t="s">
        <v>3808</v>
      </c>
      <c r="D3967" t="s">
        <v>3776</v>
      </c>
    </row>
    <row r="3968" spans="1:4" x14ac:dyDescent="0.25">
      <c r="A3968" s="2" t="s">
        <v>3817</v>
      </c>
      <c r="B3968" s="1">
        <v>15701</v>
      </c>
      <c r="C3968" t="s">
        <v>3808</v>
      </c>
      <c r="D3968" t="s">
        <v>3776</v>
      </c>
    </row>
    <row r="3969" spans="1:4" x14ac:dyDescent="0.25">
      <c r="A3969" s="2" t="s">
        <v>3818</v>
      </c>
      <c r="B3969" s="1">
        <v>15493</v>
      </c>
      <c r="C3969" t="s">
        <v>3808</v>
      </c>
      <c r="D3969" t="s">
        <v>3776</v>
      </c>
    </row>
    <row r="3970" spans="1:4" x14ac:dyDescent="0.25">
      <c r="A3970" s="2" t="s">
        <v>3819</v>
      </c>
      <c r="B3970" s="1">
        <v>15493</v>
      </c>
      <c r="C3970" t="s">
        <v>3808</v>
      </c>
      <c r="D3970" t="s">
        <v>3776</v>
      </c>
    </row>
    <row r="3971" spans="1:4" x14ac:dyDescent="0.25">
      <c r="A3971" s="2" t="s">
        <v>3820</v>
      </c>
      <c r="B3971" s="1">
        <v>15493</v>
      </c>
      <c r="C3971" t="s">
        <v>3808</v>
      </c>
      <c r="D3971" t="s">
        <v>3776</v>
      </c>
    </row>
    <row r="3972" spans="1:4" x14ac:dyDescent="0.25">
      <c r="A3972" s="2" t="s">
        <v>3821</v>
      </c>
      <c r="B3972" s="1">
        <v>15499</v>
      </c>
      <c r="C3972" t="s">
        <v>3808</v>
      </c>
      <c r="D3972" t="s">
        <v>3776</v>
      </c>
    </row>
    <row r="3973" spans="1:4" x14ac:dyDescent="0.25">
      <c r="A3973" s="2" t="s">
        <v>3822</v>
      </c>
      <c r="B3973" s="1">
        <v>15564</v>
      </c>
      <c r="C3973" t="s">
        <v>3808</v>
      </c>
      <c r="D3973" t="s">
        <v>3776</v>
      </c>
    </row>
    <row r="3974" spans="1:4" x14ac:dyDescent="0.25">
      <c r="A3974" s="2" t="s">
        <v>3823</v>
      </c>
      <c r="B3974" s="1">
        <v>15610</v>
      </c>
      <c r="C3974" t="s">
        <v>3808</v>
      </c>
      <c r="D3974" t="s">
        <v>3776</v>
      </c>
    </row>
    <row r="3975" spans="1:4" x14ac:dyDescent="0.25">
      <c r="A3975" s="2" t="s">
        <v>3824</v>
      </c>
      <c r="B3975" s="1">
        <v>15687</v>
      </c>
      <c r="C3975" t="s">
        <v>3808</v>
      </c>
      <c r="D3975" t="s">
        <v>3776</v>
      </c>
    </row>
    <row r="3976" spans="1:4" x14ac:dyDescent="0.25">
      <c r="A3976" s="2" t="s">
        <v>3825</v>
      </c>
      <c r="B3976" s="1">
        <v>15692</v>
      </c>
      <c r="C3976" t="s">
        <v>3808</v>
      </c>
      <c r="D3976" t="s">
        <v>3776</v>
      </c>
    </row>
    <row r="3977" spans="1:4" x14ac:dyDescent="0.25">
      <c r="A3977" s="2" t="s">
        <v>3826</v>
      </c>
      <c r="B3977" s="1">
        <v>15692</v>
      </c>
      <c r="C3977" t="s">
        <v>3808</v>
      </c>
      <c r="D3977" t="s">
        <v>3776</v>
      </c>
    </row>
    <row r="3978" spans="1:4" x14ac:dyDescent="0.25">
      <c r="A3978" s="2" t="s">
        <v>3827</v>
      </c>
      <c r="B3978" s="1">
        <v>15692</v>
      </c>
      <c r="C3978" t="s">
        <v>3808</v>
      </c>
      <c r="D3978" t="s">
        <v>3776</v>
      </c>
    </row>
    <row r="3979" spans="1:4" x14ac:dyDescent="0.25">
      <c r="A3979" s="2" t="s">
        <v>3828</v>
      </c>
      <c r="B3979" s="1">
        <v>15707</v>
      </c>
      <c r="C3979" t="s">
        <v>3808</v>
      </c>
      <c r="D3979" t="s">
        <v>3776</v>
      </c>
    </row>
    <row r="3980" spans="1:4" x14ac:dyDescent="0.25">
      <c r="A3980" s="2" t="s">
        <v>3829</v>
      </c>
      <c r="B3980" s="1">
        <v>15716</v>
      </c>
      <c r="C3980" t="s">
        <v>3808</v>
      </c>
      <c r="D3980" t="s">
        <v>3776</v>
      </c>
    </row>
    <row r="3981" spans="1:4" x14ac:dyDescent="0.25">
      <c r="A3981" s="2" t="s">
        <v>3830</v>
      </c>
      <c r="B3981" s="1">
        <v>15700</v>
      </c>
      <c r="C3981" t="s">
        <v>3808</v>
      </c>
      <c r="D3981" t="s">
        <v>3776</v>
      </c>
    </row>
    <row r="3982" spans="1:4" x14ac:dyDescent="0.25">
      <c r="A3982" s="2" t="s">
        <v>3831</v>
      </c>
      <c r="B3982" s="1">
        <v>15647</v>
      </c>
      <c r="C3982" t="s">
        <v>3808</v>
      </c>
      <c r="D3982" t="s">
        <v>3776</v>
      </c>
    </row>
    <row r="3983" spans="1:4" x14ac:dyDescent="0.25">
      <c r="A3983" s="2" t="s">
        <v>3832</v>
      </c>
      <c r="B3983" s="1">
        <v>15668</v>
      </c>
      <c r="C3983" t="s">
        <v>3808</v>
      </c>
      <c r="D3983" t="s">
        <v>3776</v>
      </c>
    </row>
    <row r="3984" spans="1:4" x14ac:dyDescent="0.25">
      <c r="A3984" s="2" t="s">
        <v>3833</v>
      </c>
      <c r="B3984" s="1">
        <v>15668</v>
      </c>
      <c r="C3984" t="s">
        <v>3808</v>
      </c>
      <c r="D3984" t="s">
        <v>3776</v>
      </c>
    </row>
    <row r="3985" spans="1:4" x14ac:dyDescent="0.25">
      <c r="A3985" s="2" t="s">
        <v>3834</v>
      </c>
      <c r="B3985" s="1">
        <v>15668</v>
      </c>
      <c r="C3985" t="s">
        <v>3808</v>
      </c>
      <c r="D3985" t="s">
        <v>3776</v>
      </c>
    </row>
    <row r="3986" spans="1:4" x14ac:dyDescent="0.25">
      <c r="A3986" s="2" t="s">
        <v>3835</v>
      </c>
      <c r="B3986" s="1">
        <v>15729</v>
      </c>
      <c r="C3986" t="s">
        <v>3808</v>
      </c>
      <c r="D3986" t="s">
        <v>3776</v>
      </c>
    </row>
    <row r="3987" spans="1:4" x14ac:dyDescent="0.25">
      <c r="A3987" s="2" t="s">
        <v>3836</v>
      </c>
      <c r="B3987" s="1">
        <v>15737</v>
      </c>
      <c r="C3987" t="s">
        <v>3808</v>
      </c>
      <c r="D3987" t="s">
        <v>3776</v>
      </c>
    </row>
    <row r="3988" spans="1:4" x14ac:dyDescent="0.25">
      <c r="A3988" s="2" t="s">
        <v>3837</v>
      </c>
      <c r="B3988" s="1">
        <v>15742</v>
      </c>
      <c r="C3988" t="s">
        <v>3808</v>
      </c>
      <c r="D3988" t="s">
        <v>3776</v>
      </c>
    </row>
    <row r="3989" spans="1:4" x14ac:dyDescent="0.25">
      <c r="A3989" s="2" t="s">
        <v>3838</v>
      </c>
      <c r="B3989" s="1">
        <v>15617</v>
      </c>
      <c r="C3989" t="s">
        <v>3839</v>
      </c>
      <c r="D3989" t="s">
        <v>3776</v>
      </c>
    </row>
    <row r="3990" spans="1:4" x14ac:dyDescent="0.25">
      <c r="A3990" s="2" t="s">
        <v>3840</v>
      </c>
      <c r="B3990" s="1">
        <v>15429</v>
      </c>
      <c r="C3990" t="s">
        <v>3839</v>
      </c>
      <c r="D3990" t="s">
        <v>3776</v>
      </c>
    </row>
    <row r="3991" spans="1:4" x14ac:dyDescent="0.25">
      <c r="A3991" s="2" t="s">
        <v>3841</v>
      </c>
      <c r="B3991" s="1">
        <v>15429</v>
      </c>
      <c r="C3991" t="s">
        <v>3839</v>
      </c>
      <c r="D3991" t="s">
        <v>3776</v>
      </c>
    </row>
    <row r="3992" spans="1:4" x14ac:dyDescent="0.25">
      <c r="A3992" s="2" t="s">
        <v>3842</v>
      </c>
      <c r="B3992" s="1">
        <v>15429</v>
      </c>
      <c r="C3992" t="s">
        <v>3839</v>
      </c>
      <c r="D3992" t="s">
        <v>3776</v>
      </c>
    </row>
    <row r="3993" spans="1:4" x14ac:dyDescent="0.25">
      <c r="A3993" s="2" t="s">
        <v>3843</v>
      </c>
      <c r="B3993" s="1">
        <v>15409</v>
      </c>
      <c r="C3993" t="s">
        <v>3839</v>
      </c>
      <c r="D3993" t="s">
        <v>3776</v>
      </c>
    </row>
    <row r="3994" spans="1:4" x14ac:dyDescent="0.25">
      <c r="A3994" s="2" t="s">
        <v>3844</v>
      </c>
      <c r="B3994" s="1">
        <v>15576</v>
      </c>
      <c r="C3994" t="s">
        <v>3839</v>
      </c>
      <c r="D3994" t="s">
        <v>3776</v>
      </c>
    </row>
    <row r="3995" spans="1:4" x14ac:dyDescent="0.25">
      <c r="A3995" s="2" t="s">
        <v>3845</v>
      </c>
      <c r="B3995" s="1">
        <v>15619</v>
      </c>
      <c r="C3995" t="s">
        <v>3839</v>
      </c>
      <c r="D3995" t="s">
        <v>3776</v>
      </c>
    </row>
    <row r="3996" spans="1:4" x14ac:dyDescent="0.25">
      <c r="A3996" s="2" t="s">
        <v>3846</v>
      </c>
      <c r="B3996" s="1">
        <v>15624</v>
      </c>
      <c r="C3996" t="s">
        <v>3839</v>
      </c>
      <c r="D3996" t="s">
        <v>3776</v>
      </c>
    </row>
    <row r="3997" spans="1:4" x14ac:dyDescent="0.25">
      <c r="A3997" s="2" t="s">
        <v>3847</v>
      </c>
      <c r="B3997" s="1">
        <v>15587</v>
      </c>
      <c r="C3997" t="s">
        <v>3839</v>
      </c>
      <c r="D3997" t="s">
        <v>3776</v>
      </c>
    </row>
    <row r="3998" spans="1:4" x14ac:dyDescent="0.25">
      <c r="A3998" s="2" t="s">
        <v>3848</v>
      </c>
      <c r="B3998" s="1">
        <v>15587</v>
      </c>
      <c r="C3998" t="s">
        <v>3839</v>
      </c>
      <c r="D3998" t="s">
        <v>3776</v>
      </c>
    </row>
    <row r="3999" spans="1:4" x14ac:dyDescent="0.25">
      <c r="A3999" s="2" t="s">
        <v>3849</v>
      </c>
      <c r="B3999" s="1">
        <v>15587</v>
      </c>
      <c r="C3999" t="s">
        <v>3839</v>
      </c>
      <c r="D3999" t="s">
        <v>3776</v>
      </c>
    </row>
    <row r="4000" spans="1:4" x14ac:dyDescent="0.25">
      <c r="A4000" s="2" t="s">
        <v>3850</v>
      </c>
      <c r="B4000" s="1">
        <v>15642</v>
      </c>
      <c r="C4000" t="s">
        <v>3839</v>
      </c>
      <c r="D4000" t="s">
        <v>3776</v>
      </c>
    </row>
    <row r="4001" spans="1:4" x14ac:dyDescent="0.25">
      <c r="A4001" s="2" t="s">
        <v>3851</v>
      </c>
      <c r="B4001" s="1">
        <v>15661</v>
      </c>
      <c r="C4001" t="s">
        <v>3839</v>
      </c>
      <c r="D4001" t="s">
        <v>3776</v>
      </c>
    </row>
    <row r="4002" spans="1:4" x14ac:dyDescent="0.25">
      <c r="A4002" s="2" t="s">
        <v>3852</v>
      </c>
      <c r="B4002" s="1">
        <v>15619</v>
      </c>
      <c r="C4002" t="s">
        <v>3839</v>
      </c>
      <c r="D4002" t="s">
        <v>3776</v>
      </c>
    </row>
    <row r="4003" spans="1:4" x14ac:dyDescent="0.25">
      <c r="A4003" s="2" t="s">
        <v>3853</v>
      </c>
      <c r="B4003" s="1">
        <v>15630</v>
      </c>
      <c r="C4003" t="s">
        <v>3839</v>
      </c>
      <c r="D4003" t="s">
        <v>3776</v>
      </c>
    </row>
    <row r="4004" spans="1:4" x14ac:dyDescent="0.25">
      <c r="A4004" s="2" t="s">
        <v>3854</v>
      </c>
      <c r="B4004" s="1">
        <v>15617</v>
      </c>
      <c r="C4004" t="s">
        <v>3839</v>
      </c>
      <c r="D4004" t="s">
        <v>3776</v>
      </c>
    </row>
    <row r="4005" spans="1:4" x14ac:dyDescent="0.25">
      <c r="A4005" s="2" t="s">
        <v>3855</v>
      </c>
      <c r="B4005" s="1">
        <v>15617</v>
      </c>
      <c r="C4005" t="s">
        <v>3839</v>
      </c>
      <c r="D4005" t="s">
        <v>3776</v>
      </c>
    </row>
    <row r="4006" spans="1:4" x14ac:dyDescent="0.25">
      <c r="A4006" s="2" t="s">
        <v>3856</v>
      </c>
      <c r="B4006" s="1">
        <v>15617</v>
      </c>
      <c r="C4006" t="s">
        <v>3839</v>
      </c>
      <c r="D4006" t="s">
        <v>3776</v>
      </c>
    </row>
    <row r="4007" spans="1:4" x14ac:dyDescent="0.25">
      <c r="A4007" s="2" t="s">
        <v>3857</v>
      </c>
      <c r="B4007" s="1">
        <v>15621</v>
      </c>
      <c r="C4007" t="s">
        <v>3839</v>
      </c>
      <c r="D4007" t="s">
        <v>3776</v>
      </c>
    </row>
    <row r="4008" spans="1:4" x14ac:dyDescent="0.25">
      <c r="A4008" s="2" t="s">
        <v>3858</v>
      </c>
      <c r="B4008" s="1">
        <v>15608</v>
      </c>
      <c r="C4008" t="s">
        <v>3839</v>
      </c>
      <c r="D4008" t="s">
        <v>3776</v>
      </c>
    </row>
    <row r="4009" spans="1:4" x14ac:dyDescent="0.25">
      <c r="A4009" s="2" t="s">
        <v>3859</v>
      </c>
      <c r="B4009" s="1">
        <v>15601</v>
      </c>
      <c r="C4009" t="s">
        <v>3839</v>
      </c>
      <c r="D4009" t="s">
        <v>3776</v>
      </c>
    </row>
    <row r="4010" spans="1:4" x14ac:dyDescent="0.25">
      <c r="A4010" s="2" t="s">
        <v>3860</v>
      </c>
      <c r="B4010" s="1">
        <v>15594</v>
      </c>
      <c r="C4010" t="s">
        <v>3839</v>
      </c>
      <c r="D4010" t="s">
        <v>3776</v>
      </c>
    </row>
    <row r="4011" spans="1:4" x14ac:dyDescent="0.25">
      <c r="A4011" s="2" t="s">
        <v>3861</v>
      </c>
      <c r="B4011" s="1">
        <v>15605</v>
      </c>
      <c r="C4011" t="s">
        <v>3839</v>
      </c>
      <c r="D4011" t="s">
        <v>3776</v>
      </c>
    </row>
    <row r="4012" spans="1:4" x14ac:dyDescent="0.25">
      <c r="A4012" s="2" t="s">
        <v>3862</v>
      </c>
      <c r="B4012" s="1">
        <v>15605</v>
      </c>
      <c r="C4012" t="s">
        <v>3839</v>
      </c>
      <c r="D4012" t="s">
        <v>3776</v>
      </c>
    </row>
    <row r="4013" spans="1:4" x14ac:dyDescent="0.25">
      <c r="A4013" s="2" t="s">
        <v>3863</v>
      </c>
      <c r="B4013" s="1">
        <v>15605</v>
      </c>
      <c r="C4013" t="s">
        <v>3839</v>
      </c>
      <c r="D4013" t="s">
        <v>3776</v>
      </c>
    </row>
    <row r="4014" spans="1:4" x14ac:dyDescent="0.25">
      <c r="A4014" s="2" t="s">
        <v>3864</v>
      </c>
      <c r="B4014" s="1">
        <v>15636</v>
      </c>
      <c r="C4014" t="s">
        <v>3839</v>
      </c>
      <c r="D4014" t="s">
        <v>3776</v>
      </c>
    </row>
    <row r="4015" spans="1:4" x14ac:dyDescent="0.25">
      <c r="A4015" s="2" t="s">
        <v>3865</v>
      </c>
      <c r="B4015" s="1">
        <v>15659</v>
      </c>
      <c r="C4015" t="s">
        <v>3839</v>
      </c>
      <c r="D4015" t="s">
        <v>3776</v>
      </c>
    </row>
    <row r="4016" spans="1:4" x14ac:dyDescent="0.25">
      <c r="A4016" s="2" t="s">
        <v>3866</v>
      </c>
      <c r="B4016" s="1">
        <v>15703</v>
      </c>
      <c r="C4016" t="s">
        <v>3839</v>
      </c>
      <c r="D4016" t="s">
        <v>3776</v>
      </c>
    </row>
    <row r="4017" spans="1:4" x14ac:dyDescent="0.25">
      <c r="A4017" s="2" t="s">
        <v>3867</v>
      </c>
      <c r="B4017" s="1">
        <v>15731</v>
      </c>
      <c r="C4017" t="s">
        <v>3839</v>
      </c>
      <c r="D4017" t="s">
        <v>3776</v>
      </c>
    </row>
    <row r="4018" spans="1:4" x14ac:dyDescent="0.25">
      <c r="A4018" s="2" t="s">
        <v>3868</v>
      </c>
      <c r="B4018" s="1">
        <v>15592</v>
      </c>
      <c r="C4018" t="s">
        <v>3839</v>
      </c>
      <c r="D4018" t="s">
        <v>3776</v>
      </c>
    </row>
    <row r="4019" spans="1:4" x14ac:dyDescent="0.25">
      <c r="A4019" s="2" t="s">
        <v>3869</v>
      </c>
      <c r="B4019" s="1">
        <v>15592</v>
      </c>
      <c r="C4019" t="s">
        <v>3839</v>
      </c>
      <c r="D4019" t="s">
        <v>3776</v>
      </c>
    </row>
    <row r="4020" spans="1:4" x14ac:dyDescent="0.25">
      <c r="A4020" s="2" t="s">
        <v>3870</v>
      </c>
      <c r="B4020" s="1">
        <v>15592</v>
      </c>
      <c r="C4020" t="s">
        <v>3871</v>
      </c>
      <c r="D4020" t="s">
        <v>3872</v>
      </c>
    </row>
    <row r="4021" spans="1:4" x14ac:dyDescent="0.25">
      <c r="A4021" s="2" t="s">
        <v>3873</v>
      </c>
      <c r="B4021" s="1">
        <v>15572</v>
      </c>
      <c r="C4021" t="s">
        <v>3871</v>
      </c>
      <c r="D4021" t="s">
        <v>3872</v>
      </c>
    </row>
    <row r="4022" spans="1:4" x14ac:dyDescent="0.25">
      <c r="A4022" s="2" t="s">
        <v>3874</v>
      </c>
      <c r="B4022" s="1">
        <v>15590</v>
      </c>
      <c r="C4022" t="s">
        <v>3871</v>
      </c>
      <c r="D4022" t="s">
        <v>3872</v>
      </c>
    </row>
    <row r="4023" spans="1:4" x14ac:dyDescent="0.25">
      <c r="A4023" s="2" t="s">
        <v>3875</v>
      </c>
      <c r="B4023" s="1">
        <v>15615</v>
      </c>
      <c r="C4023" t="s">
        <v>3871</v>
      </c>
      <c r="D4023" t="s">
        <v>3872</v>
      </c>
    </row>
    <row r="4024" spans="1:4" x14ac:dyDescent="0.25">
      <c r="A4024" s="2" t="s">
        <v>3876</v>
      </c>
      <c r="B4024" s="1">
        <v>15610</v>
      </c>
      <c r="C4024" t="s">
        <v>3871</v>
      </c>
      <c r="D4024" t="s">
        <v>3872</v>
      </c>
    </row>
    <row r="4025" spans="1:4" x14ac:dyDescent="0.25">
      <c r="A4025" s="2" t="s">
        <v>3877</v>
      </c>
      <c r="B4025" s="1">
        <v>15635</v>
      </c>
      <c r="C4025" t="s">
        <v>3871</v>
      </c>
      <c r="D4025" t="s">
        <v>3872</v>
      </c>
    </row>
    <row r="4026" spans="1:4" x14ac:dyDescent="0.25">
      <c r="A4026" s="2" t="s">
        <v>3878</v>
      </c>
      <c r="B4026" s="1">
        <v>15635</v>
      </c>
      <c r="C4026" t="s">
        <v>3871</v>
      </c>
      <c r="D4026" t="s">
        <v>3872</v>
      </c>
    </row>
    <row r="4027" spans="1:4" x14ac:dyDescent="0.25">
      <c r="A4027" s="2" t="s">
        <v>3879</v>
      </c>
      <c r="B4027" s="1">
        <v>15635</v>
      </c>
      <c r="C4027" t="s">
        <v>3871</v>
      </c>
      <c r="D4027" t="s">
        <v>3872</v>
      </c>
    </row>
    <row r="4028" spans="1:4" x14ac:dyDescent="0.25">
      <c r="A4028" s="2" t="s">
        <v>3880</v>
      </c>
      <c r="B4028" s="1">
        <v>15574</v>
      </c>
      <c r="C4028" t="s">
        <v>3871</v>
      </c>
      <c r="D4028" t="s">
        <v>3872</v>
      </c>
    </row>
    <row r="4029" spans="1:4" x14ac:dyDescent="0.25">
      <c r="A4029" s="2" t="s">
        <v>3881</v>
      </c>
      <c r="B4029" s="1">
        <v>15589</v>
      </c>
      <c r="C4029" t="s">
        <v>3871</v>
      </c>
      <c r="D4029" t="s">
        <v>3872</v>
      </c>
    </row>
    <row r="4030" spans="1:4" x14ac:dyDescent="0.25">
      <c r="A4030" s="2" t="s">
        <v>3882</v>
      </c>
      <c r="B4030" s="1">
        <v>15527</v>
      </c>
      <c r="C4030" t="s">
        <v>3871</v>
      </c>
      <c r="D4030" t="s">
        <v>3872</v>
      </c>
    </row>
    <row r="4031" spans="1:4" x14ac:dyDescent="0.25">
      <c r="A4031" s="2" t="s">
        <v>3883</v>
      </c>
      <c r="B4031" s="1">
        <v>15366</v>
      </c>
      <c r="C4031" t="s">
        <v>3871</v>
      </c>
      <c r="D4031" t="s">
        <v>3872</v>
      </c>
    </row>
    <row r="4032" spans="1:4" x14ac:dyDescent="0.25">
      <c r="A4032" s="2" t="s">
        <v>3884</v>
      </c>
      <c r="B4032" s="1">
        <v>15177</v>
      </c>
      <c r="C4032" t="s">
        <v>3871</v>
      </c>
      <c r="D4032" t="s">
        <v>3872</v>
      </c>
    </row>
    <row r="4033" spans="1:4" x14ac:dyDescent="0.25">
      <c r="A4033" s="2" t="s">
        <v>3885</v>
      </c>
      <c r="B4033" s="1">
        <v>15177</v>
      </c>
      <c r="C4033" t="s">
        <v>3871</v>
      </c>
      <c r="D4033" t="s">
        <v>3872</v>
      </c>
    </row>
    <row r="4034" spans="1:4" x14ac:dyDescent="0.25">
      <c r="A4034" s="2" t="s">
        <v>3886</v>
      </c>
      <c r="B4034" s="1">
        <v>15177</v>
      </c>
      <c r="C4034" t="s">
        <v>3871</v>
      </c>
      <c r="D4034" t="s">
        <v>3872</v>
      </c>
    </row>
    <row r="4035" spans="1:4" x14ac:dyDescent="0.25">
      <c r="A4035" s="2" t="s">
        <v>3887</v>
      </c>
      <c r="B4035" s="1">
        <v>15019</v>
      </c>
      <c r="C4035" t="s">
        <v>3871</v>
      </c>
      <c r="D4035" t="s">
        <v>3872</v>
      </c>
    </row>
    <row r="4036" spans="1:4" x14ac:dyDescent="0.25">
      <c r="A4036" s="2" t="s">
        <v>3888</v>
      </c>
      <c r="B4036" s="1">
        <v>15154</v>
      </c>
      <c r="C4036" t="s">
        <v>3871</v>
      </c>
      <c r="D4036" t="s">
        <v>3872</v>
      </c>
    </row>
    <row r="4037" spans="1:4" x14ac:dyDescent="0.25">
      <c r="A4037" s="2" t="s">
        <v>3889</v>
      </c>
      <c r="B4037" s="1">
        <v>15137</v>
      </c>
      <c r="C4037" t="s">
        <v>3871</v>
      </c>
      <c r="D4037" t="s">
        <v>3872</v>
      </c>
    </row>
    <row r="4038" spans="1:4" x14ac:dyDescent="0.25">
      <c r="A4038" s="2" t="s">
        <v>3890</v>
      </c>
      <c r="B4038" s="1">
        <v>15113</v>
      </c>
      <c r="C4038" t="s">
        <v>3871</v>
      </c>
      <c r="D4038" t="s">
        <v>3872</v>
      </c>
    </row>
    <row r="4039" spans="1:4" x14ac:dyDescent="0.25">
      <c r="A4039" s="2" t="s">
        <v>3891</v>
      </c>
      <c r="B4039" s="1">
        <v>15121</v>
      </c>
      <c r="C4039" t="s">
        <v>3871</v>
      </c>
      <c r="D4039" t="s">
        <v>3872</v>
      </c>
    </row>
    <row r="4040" spans="1:4" x14ac:dyDescent="0.25">
      <c r="A4040" s="2" t="s">
        <v>3892</v>
      </c>
      <c r="B4040" s="1">
        <v>15121</v>
      </c>
      <c r="C4040" t="s">
        <v>3871</v>
      </c>
      <c r="D4040" t="s">
        <v>3872</v>
      </c>
    </row>
    <row r="4041" spans="1:4" x14ac:dyDescent="0.25">
      <c r="A4041" s="2" t="s">
        <v>3893</v>
      </c>
      <c r="B4041" s="1">
        <v>15121</v>
      </c>
      <c r="C4041" t="s">
        <v>3871</v>
      </c>
      <c r="D4041" t="s">
        <v>3872</v>
      </c>
    </row>
    <row r="4042" spans="1:4" x14ac:dyDescent="0.25">
      <c r="A4042" s="2" t="s">
        <v>3894</v>
      </c>
      <c r="B4042" s="1">
        <v>15121</v>
      </c>
      <c r="C4042" t="s">
        <v>3871</v>
      </c>
      <c r="D4042" t="s">
        <v>3872</v>
      </c>
    </row>
    <row r="4043" spans="1:4" x14ac:dyDescent="0.25">
      <c r="A4043" s="2" t="s">
        <v>3895</v>
      </c>
      <c r="B4043" s="1">
        <v>14930</v>
      </c>
      <c r="C4043" t="s">
        <v>3871</v>
      </c>
      <c r="D4043" t="s">
        <v>3872</v>
      </c>
    </row>
    <row r="4044" spans="1:4" x14ac:dyDescent="0.25">
      <c r="A4044" s="2" t="s">
        <v>3896</v>
      </c>
      <c r="B4044" s="1">
        <v>14958</v>
      </c>
      <c r="C4044" t="s">
        <v>3871</v>
      </c>
      <c r="D4044" t="s">
        <v>3872</v>
      </c>
    </row>
    <row r="4045" spans="1:4" x14ac:dyDescent="0.25">
      <c r="A4045" s="2" t="s">
        <v>3897</v>
      </c>
      <c r="B4045" s="1">
        <v>14964</v>
      </c>
      <c r="C4045" t="s">
        <v>3871</v>
      </c>
      <c r="D4045" t="s">
        <v>3872</v>
      </c>
    </row>
    <row r="4046" spans="1:4" x14ac:dyDescent="0.25">
      <c r="A4046" s="2" t="s">
        <v>3898</v>
      </c>
      <c r="B4046" s="1">
        <v>14978</v>
      </c>
      <c r="C4046" t="s">
        <v>3871</v>
      </c>
      <c r="D4046" t="s">
        <v>3872</v>
      </c>
    </row>
    <row r="4047" spans="1:4" x14ac:dyDescent="0.25">
      <c r="A4047" s="2" t="s">
        <v>3899</v>
      </c>
      <c r="B4047" s="1">
        <v>14978</v>
      </c>
      <c r="C4047" t="s">
        <v>3871</v>
      </c>
      <c r="D4047" t="s">
        <v>3872</v>
      </c>
    </row>
    <row r="4048" spans="1:4" x14ac:dyDescent="0.25">
      <c r="A4048" s="2" t="s">
        <v>3900</v>
      </c>
      <c r="B4048" s="1">
        <v>14978</v>
      </c>
      <c r="C4048" t="s">
        <v>3871</v>
      </c>
      <c r="D4048" t="s">
        <v>3872</v>
      </c>
    </row>
    <row r="4049" spans="1:4" x14ac:dyDescent="0.25">
      <c r="A4049" s="2" t="s">
        <v>3901</v>
      </c>
      <c r="B4049" s="1">
        <v>14979</v>
      </c>
      <c r="C4049" t="s">
        <v>3871</v>
      </c>
      <c r="D4049" t="s">
        <v>3872</v>
      </c>
    </row>
    <row r="4050" spans="1:4" x14ac:dyDescent="0.25">
      <c r="A4050" s="2" t="s">
        <v>3902</v>
      </c>
      <c r="B4050" s="1">
        <v>14992</v>
      </c>
      <c r="C4050" t="s">
        <v>3871</v>
      </c>
      <c r="D4050" t="s">
        <v>3872</v>
      </c>
    </row>
    <row r="4051" spans="1:4" x14ac:dyDescent="0.25">
      <c r="A4051" s="2" t="s">
        <v>3903</v>
      </c>
      <c r="B4051" s="1">
        <v>14991</v>
      </c>
      <c r="C4051" t="s">
        <v>3904</v>
      </c>
      <c r="D4051" t="s">
        <v>3872</v>
      </c>
    </row>
    <row r="4052" spans="1:4" x14ac:dyDescent="0.25">
      <c r="A4052" s="2" t="s">
        <v>3905</v>
      </c>
      <c r="B4052" s="1">
        <v>14868</v>
      </c>
      <c r="C4052" t="s">
        <v>3904</v>
      </c>
      <c r="D4052" t="s">
        <v>3872</v>
      </c>
    </row>
    <row r="4053" spans="1:4" x14ac:dyDescent="0.25">
      <c r="A4053" s="2" t="s">
        <v>3906</v>
      </c>
      <c r="B4053" s="1">
        <v>14898</v>
      </c>
      <c r="C4053" t="s">
        <v>3904</v>
      </c>
      <c r="D4053" t="s">
        <v>3872</v>
      </c>
    </row>
    <row r="4054" spans="1:4" x14ac:dyDescent="0.25">
      <c r="A4054" s="2" t="s">
        <v>3907</v>
      </c>
      <c r="B4054" s="1">
        <v>14898</v>
      </c>
      <c r="C4054" t="s">
        <v>3904</v>
      </c>
      <c r="D4054" t="s">
        <v>3872</v>
      </c>
    </row>
    <row r="4055" spans="1:4" x14ac:dyDescent="0.25">
      <c r="A4055" s="2" t="s">
        <v>3908</v>
      </c>
      <c r="B4055" s="1">
        <v>14898</v>
      </c>
      <c r="C4055" t="s">
        <v>3904</v>
      </c>
      <c r="D4055" t="s">
        <v>3872</v>
      </c>
    </row>
    <row r="4056" spans="1:4" x14ac:dyDescent="0.25">
      <c r="A4056" s="2" t="s">
        <v>3909</v>
      </c>
      <c r="B4056" s="1">
        <v>15055</v>
      </c>
      <c r="C4056" t="s">
        <v>3904</v>
      </c>
      <c r="D4056" t="s">
        <v>3872</v>
      </c>
    </row>
    <row r="4057" spans="1:4" x14ac:dyDescent="0.25">
      <c r="A4057" s="2" t="s">
        <v>3910</v>
      </c>
      <c r="B4057" s="1">
        <v>15139</v>
      </c>
      <c r="C4057" t="s">
        <v>3904</v>
      </c>
      <c r="D4057" t="s">
        <v>3872</v>
      </c>
    </row>
    <row r="4058" spans="1:4" x14ac:dyDescent="0.25">
      <c r="A4058" s="2" t="s">
        <v>3911</v>
      </c>
      <c r="B4058" s="1">
        <v>15122</v>
      </c>
      <c r="C4058" t="s">
        <v>3904</v>
      </c>
      <c r="D4058" t="s">
        <v>3872</v>
      </c>
    </row>
    <row r="4059" spans="1:4" x14ac:dyDescent="0.25">
      <c r="A4059" s="2" t="s">
        <v>3912</v>
      </c>
      <c r="B4059" s="1">
        <v>15120</v>
      </c>
      <c r="C4059" t="s">
        <v>3904</v>
      </c>
      <c r="D4059" t="s">
        <v>3872</v>
      </c>
    </row>
    <row r="4060" spans="1:4" x14ac:dyDescent="0.25">
      <c r="A4060" s="2" t="s">
        <v>3913</v>
      </c>
      <c r="B4060" s="1">
        <v>15140</v>
      </c>
      <c r="C4060" t="s">
        <v>3904</v>
      </c>
      <c r="D4060" t="s">
        <v>3872</v>
      </c>
    </row>
    <row r="4061" spans="1:4" x14ac:dyDescent="0.25">
      <c r="A4061" s="2" t="s">
        <v>3914</v>
      </c>
      <c r="B4061" s="1">
        <v>15140</v>
      </c>
      <c r="C4061" t="s">
        <v>3904</v>
      </c>
      <c r="D4061" t="s">
        <v>3872</v>
      </c>
    </row>
    <row r="4062" spans="1:4" x14ac:dyDescent="0.25">
      <c r="A4062" s="2" t="s">
        <v>3915</v>
      </c>
      <c r="B4062" s="1">
        <v>15140</v>
      </c>
      <c r="C4062" t="s">
        <v>3904</v>
      </c>
      <c r="D4062" t="s">
        <v>3872</v>
      </c>
    </row>
    <row r="4063" spans="1:4" x14ac:dyDescent="0.25">
      <c r="A4063" s="2" t="s">
        <v>3916</v>
      </c>
      <c r="B4063" s="1">
        <v>15216</v>
      </c>
      <c r="C4063" t="s">
        <v>3904</v>
      </c>
      <c r="D4063" t="s">
        <v>3872</v>
      </c>
    </row>
    <row r="4064" spans="1:4" x14ac:dyDescent="0.25">
      <c r="A4064" s="2" t="s">
        <v>3917</v>
      </c>
      <c r="B4064" s="1">
        <v>15168</v>
      </c>
      <c r="C4064" t="s">
        <v>3904</v>
      </c>
      <c r="D4064" t="s">
        <v>3872</v>
      </c>
    </row>
    <row r="4065" spans="1:4" x14ac:dyDescent="0.25">
      <c r="A4065" s="2" t="s">
        <v>3918</v>
      </c>
      <c r="B4065" s="1">
        <v>15194</v>
      </c>
      <c r="C4065" t="s">
        <v>3904</v>
      </c>
      <c r="D4065" t="s">
        <v>3872</v>
      </c>
    </row>
    <row r="4066" spans="1:4" x14ac:dyDescent="0.25">
      <c r="A4066" s="2" t="s">
        <v>3919</v>
      </c>
      <c r="B4066" s="1">
        <v>15176</v>
      </c>
      <c r="C4066" t="s">
        <v>3904</v>
      </c>
      <c r="D4066" t="s">
        <v>3872</v>
      </c>
    </row>
    <row r="4067" spans="1:4" x14ac:dyDescent="0.25">
      <c r="A4067" s="2" t="s">
        <v>3920</v>
      </c>
      <c r="B4067" s="1">
        <v>15199</v>
      </c>
      <c r="C4067" t="s">
        <v>3904</v>
      </c>
      <c r="D4067" t="s">
        <v>3872</v>
      </c>
    </row>
    <row r="4068" spans="1:4" x14ac:dyDescent="0.25">
      <c r="A4068" s="2" t="s">
        <v>3921</v>
      </c>
      <c r="B4068" s="1">
        <v>15199</v>
      </c>
      <c r="C4068" t="s">
        <v>3904</v>
      </c>
      <c r="D4068" t="s">
        <v>3872</v>
      </c>
    </row>
    <row r="4069" spans="1:4" x14ac:dyDescent="0.25">
      <c r="A4069" s="2" t="s">
        <v>3922</v>
      </c>
      <c r="B4069" s="1">
        <v>15199</v>
      </c>
      <c r="C4069" t="s">
        <v>3904</v>
      </c>
      <c r="D4069" t="s">
        <v>3872</v>
      </c>
    </row>
    <row r="4070" spans="1:4" x14ac:dyDescent="0.25">
      <c r="A4070" s="2" t="s">
        <v>3923</v>
      </c>
      <c r="B4070" s="1">
        <v>15168</v>
      </c>
      <c r="C4070" t="s">
        <v>3904</v>
      </c>
      <c r="D4070" t="s">
        <v>3872</v>
      </c>
    </row>
    <row r="4071" spans="1:4" x14ac:dyDescent="0.25">
      <c r="A4071" s="2" t="s">
        <v>3924</v>
      </c>
      <c r="B4071" s="1">
        <v>15179</v>
      </c>
      <c r="C4071" t="s">
        <v>3904</v>
      </c>
      <c r="D4071" t="s">
        <v>3872</v>
      </c>
    </row>
    <row r="4072" spans="1:4" x14ac:dyDescent="0.25">
      <c r="A4072" s="2" t="s">
        <v>3925</v>
      </c>
      <c r="B4072" s="1">
        <v>15218</v>
      </c>
      <c r="C4072" t="s">
        <v>3904</v>
      </c>
      <c r="D4072" t="s">
        <v>3872</v>
      </c>
    </row>
    <row r="4073" spans="1:4" x14ac:dyDescent="0.25">
      <c r="A4073" s="2" t="s">
        <v>3926</v>
      </c>
      <c r="B4073" s="1">
        <v>15187</v>
      </c>
      <c r="C4073" t="s">
        <v>3904</v>
      </c>
      <c r="D4073" t="s">
        <v>3872</v>
      </c>
    </row>
    <row r="4074" spans="1:4" x14ac:dyDescent="0.25">
      <c r="A4074" s="2" t="s">
        <v>3927</v>
      </c>
      <c r="B4074" s="1">
        <v>15216</v>
      </c>
      <c r="C4074" t="s">
        <v>3904</v>
      </c>
      <c r="D4074" t="s">
        <v>3872</v>
      </c>
    </row>
    <row r="4075" spans="1:4" x14ac:dyDescent="0.25">
      <c r="A4075" s="2" t="s">
        <v>3928</v>
      </c>
      <c r="B4075" s="1">
        <v>15216</v>
      </c>
      <c r="C4075" t="s">
        <v>3904</v>
      </c>
      <c r="D4075" t="s">
        <v>3872</v>
      </c>
    </row>
    <row r="4076" spans="1:4" x14ac:dyDescent="0.25">
      <c r="A4076" s="2" t="s">
        <v>3929</v>
      </c>
      <c r="B4076" s="1">
        <v>15216</v>
      </c>
      <c r="C4076" t="s">
        <v>3904</v>
      </c>
      <c r="D4076" t="s">
        <v>3872</v>
      </c>
    </row>
    <row r="4077" spans="1:4" x14ac:dyDescent="0.25">
      <c r="A4077" s="2" t="s">
        <v>3930</v>
      </c>
      <c r="B4077" s="1">
        <v>15274</v>
      </c>
      <c r="C4077" t="s">
        <v>3904</v>
      </c>
      <c r="D4077" t="s">
        <v>3872</v>
      </c>
    </row>
    <row r="4078" spans="1:4" x14ac:dyDescent="0.25">
      <c r="A4078" s="2" t="s">
        <v>3931</v>
      </c>
      <c r="B4078" s="1">
        <v>15240</v>
      </c>
      <c r="C4078" t="s">
        <v>3904</v>
      </c>
      <c r="D4078" t="s">
        <v>3872</v>
      </c>
    </row>
    <row r="4079" spans="1:4" x14ac:dyDescent="0.25">
      <c r="A4079" s="2" t="s">
        <v>3932</v>
      </c>
      <c r="B4079" s="1">
        <v>15250</v>
      </c>
      <c r="C4079" t="s">
        <v>3933</v>
      </c>
      <c r="D4079" t="s">
        <v>3872</v>
      </c>
    </row>
    <row r="4080" spans="1:4" x14ac:dyDescent="0.25">
      <c r="A4080" s="2" t="s">
        <v>3934</v>
      </c>
      <c r="B4080" s="1">
        <v>15273</v>
      </c>
      <c r="C4080" t="s">
        <v>3933</v>
      </c>
      <c r="D4080" t="s">
        <v>3872</v>
      </c>
    </row>
    <row r="4081" spans="1:4" x14ac:dyDescent="0.25">
      <c r="A4081" s="2" t="s">
        <v>3935</v>
      </c>
      <c r="B4081" s="1">
        <v>15306</v>
      </c>
      <c r="C4081" t="s">
        <v>3933</v>
      </c>
      <c r="D4081" t="s">
        <v>3872</v>
      </c>
    </row>
    <row r="4082" spans="1:4" x14ac:dyDescent="0.25">
      <c r="A4082" s="2" t="s">
        <v>3936</v>
      </c>
      <c r="B4082" s="1">
        <v>15306</v>
      </c>
      <c r="C4082" t="s">
        <v>3933</v>
      </c>
      <c r="D4082" t="s">
        <v>3872</v>
      </c>
    </row>
    <row r="4083" spans="1:4" x14ac:dyDescent="0.25">
      <c r="A4083" s="2" t="s">
        <v>3937</v>
      </c>
      <c r="B4083" s="1">
        <v>15306</v>
      </c>
      <c r="C4083" t="s">
        <v>3933</v>
      </c>
      <c r="D4083" t="s">
        <v>3872</v>
      </c>
    </row>
    <row r="4084" spans="1:4" x14ac:dyDescent="0.25">
      <c r="A4084" s="2" t="s">
        <v>3938</v>
      </c>
      <c r="B4084" s="1">
        <v>15301</v>
      </c>
      <c r="C4084" t="s">
        <v>3933</v>
      </c>
      <c r="D4084" t="s">
        <v>3872</v>
      </c>
    </row>
    <row r="4085" spans="1:4" x14ac:dyDescent="0.25">
      <c r="A4085" s="2" t="s">
        <v>3939</v>
      </c>
      <c r="B4085" s="1">
        <v>15359</v>
      </c>
      <c r="C4085" t="s">
        <v>3933</v>
      </c>
      <c r="D4085" t="s">
        <v>3872</v>
      </c>
    </row>
    <row r="4086" spans="1:4" x14ac:dyDescent="0.25">
      <c r="A4086" s="2" t="s">
        <v>3940</v>
      </c>
      <c r="B4086" s="1">
        <v>15451</v>
      </c>
      <c r="C4086" t="s">
        <v>3933</v>
      </c>
      <c r="D4086" t="s">
        <v>3872</v>
      </c>
    </row>
    <row r="4087" spans="1:4" x14ac:dyDescent="0.25">
      <c r="A4087" s="2" t="s">
        <v>3941</v>
      </c>
      <c r="B4087" s="1">
        <v>15438</v>
      </c>
      <c r="C4087" t="s">
        <v>3933</v>
      </c>
      <c r="D4087" t="s">
        <v>3872</v>
      </c>
    </row>
    <row r="4088" spans="1:4" x14ac:dyDescent="0.25">
      <c r="A4088" s="2" t="s">
        <v>3942</v>
      </c>
      <c r="B4088" s="1">
        <v>15468</v>
      </c>
      <c r="C4088" t="s">
        <v>3933</v>
      </c>
      <c r="D4088" t="s">
        <v>3872</v>
      </c>
    </row>
    <row r="4089" spans="1:4" x14ac:dyDescent="0.25">
      <c r="A4089" s="2" t="s">
        <v>3943</v>
      </c>
      <c r="B4089" s="1">
        <v>15468</v>
      </c>
      <c r="C4089" t="s">
        <v>3933</v>
      </c>
      <c r="D4089" t="s">
        <v>3872</v>
      </c>
    </row>
    <row r="4090" spans="1:4" x14ac:dyDescent="0.25">
      <c r="A4090" s="2" t="s">
        <v>3944</v>
      </c>
      <c r="B4090" s="1">
        <v>15468</v>
      </c>
      <c r="C4090" t="s">
        <v>3933</v>
      </c>
      <c r="D4090" t="s">
        <v>3872</v>
      </c>
    </row>
    <row r="4091" spans="1:4" x14ac:dyDescent="0.25">
      <c r="A4091" s="2" t="s">
        <v>3945</v>
      </c>
      <c r="B4091" s="1">
        <v>15374</v>
      </c>
      <c r="C4091" t="s">
        <v>3933</v>
      </c>
      <c r="D4091" t="s">
        <v>3872</v>
      </c>
    </row>
    <row r="4092" spans="1:4" x14ac:dyDescent="0.25">
      <c r="A4092" s="2" t="s">
        <v>3946</v>
      </c>
      <c r="B4092" s="1">
        <v>15380</v>
      </c>
      <c r="C4092" t="s">
        <v>3933</v>
      </c>
      <c r="D4092" t="s">
        <v>3872</v>
      </c>
    </row>
    <row r="4093" spans="1:4" x14ac:dyDescent="0.25">
      <c r="A4093" s="2" t="s">
        <v>3947</v>
      </c>
      <c r="B4093" s="1">
        <v>15365</v>
      </c>
      <c r="C4093" t="s">
        <v>3933</v>
      </c>
      <c r="D4093" t="s">
        <v>3872</v>
      </c>
    </row>
    <row r="4094" spans="1:4" x14ac:dyDescent="0.25">
      <c r="A4094" s="2" t="s">
        <v>3948</v>
      </c>
      <c r="B4094" s="1">
        <v>15418</v>
      </c>
      <c r="C4094" t="s">
        <v>3933</v>
      </c>
      <c r="D4094" t="s">
        <v>3872</v>
      </c>
    </row>
    <row r="4095" spans="1:4" x14ac:dyDescent="0.25">
      <c r="A4095" s="2" t="s">
        <v>3949</v>
      </c>
      <c r="B4095" s="1">
        <v>15364</v>
      </c>
      <c r="C4095" t="s">
        <v>3933</v>
      </c>
      <c r="D4095" t="s">
        <v>3872</v>
      </c>
    </row>
    <row r="4096" spans="1:4" x14ac:dyDescent="0.25">
      <c r="A4096" s="2" t="s">
        <v>3950</v>
      </c>
      <c r="B4096" s="1">
        <v>15364</v>
      </c>
      <c r="C4096" t="s">
        <v>3933</v>
      </c>
      <c r="D4096" t="s">
        <v>3872</v>
      </c>
    </row>
    <row r="4097" spans="1:4" x14ac:dyDescent="0.25">
      <c r="A4097" s="2" t="s">
        <v>3951</v>
      </c>
      <c r="B4097" s="1">
        <v>15364</v>
      </c>
      <c r="C4097" t="s">
        <v>3933</v>
      </c>
      <c r="D4097" t="s">
        <v>3872</v>
      </c>
    </row>
    <row r="4098" spans="1:4" x14ac:dyDescent="0.25">
      <c r="A4098" s="2" t="s">
        <v>3952</v>
      </c>
      <c r="B4098" s="1">
        <v>15372</v>
      </c>
      <c r="C4098" t="s">
        <v>3933</v>
      </c>
      <c r="D4098" t="s">
        <v>3872</v>
      </c>
    </row>
    <row r="4099" spans="1:4" x14ac:dyDescent="0.25">
      <c r="A4099" s="2" t="s">
        <v>3953</v>
      </c>
      <c r="B4099" s="1">
        <v>15349</v>
      </c>
      <c r="C4099" t="s">
        <v>3933</v>
      </c>
      <c r="D4099" t="s">
        <v>3872</v>
      </c>
    </row>
    <row r="4100" spans="1:4" x14ac:dyDescent="0.25">
      <c r="A4100" s="2" t="s">
        <v>3954</v>
      </c>
      <c r="B4100" s="1">
        <v>15349</v>
      </c>
      <c r="C4100" t="s">
        <v>3933</v>
      </c>
      <c r="D4100" t="s">
        <v>3872</v>
      </c>
    </row>
    <row r="4101" spans="1:4" x14ac:dyDescent="0.25">
      <c r="A4101" s="2" t="s">
        <v>3955</v>
      </c>
      <c r="B4101" s="1">
        <v>15349</v>
      </c>
      <c r="C4101" t="s">
        <v>3933</v>
      </c>
      <c r="D4101" t="s">
        <v>3872</v>
      </c>
    </row>
    <row r="4102" spans="1:4" x14ac:dyDescent="0.25">
      <c r="A4102" s="2" t="s">
        <v>3956</v>
      </c>
      <c r="B4102" s="1">
        <v>15189</v>
      </c>
      <c r="C4102" t="s">
        <v>3933</v>
      </c>
      <c r="D4102" t="s">
        <v>3872</v>
      </c>
    </row>
    <row r="4103" spans="1:4" x14ac:dyDescent="0.25">
      <c r="A4103" s="2" t="s">
        <v>3957</v>
      </c>
      <c r="B4103" s="1">
        <v>15189</v>
      </c>
      <c r="C4103" t="s">
        <v>3933</v>
      </c>
      <c r="D4103" t="s">
        <v>3872</v>
      </c>
    </row>
    <row r="4104" spans="1:4" x14ac:dyDescent="0.25">
      <c r="A4104" s="2" t="s">
        <v>3958</v>
      </c>
      <c r="B4104" s="1">
        <v>15189</v>
      </c>
      <c r="C4104" t="s">
        <v>3933</v>
      </c>
      <c r="D4104" t="s">
        <v>3872</v>
      </c>
    </row>
    <row r="4105" spans="1:4" x14ac:dyDescent="0.25">
      <c r="A4105" s="2" t="s">
        <v>3959</v>
      </c>
      <c r="B4105" s="1">
        <v>15174</v>
      </c>
      <c r="C4105" t="s">
        <v>3933</v>
      </c>
      <c r="D4105" t="s">
        <v>3872</v>
      </c>
    </row>
    <row r="4106" spans="1:4" x14ac:dyDescent="0.25">
      <c r="A4106" s="2" t="s">
        <v>3960</v>
      </c>
      <c r="B4106" s="1">
        <v>15088</v>
      </c>
      <c r="C4106" t="s">
        <v>3933</v>
      </c>
      <c r="D4106" t="s">
        <v>3872</v>
      </c>
    </row>
    <row r="4107" spans="1:4" x14ac:dyDescent="0.25">
      <c r="A4107" s="2" t="s">
        <v>3961</v>
      </c>
      <c r="B4107" s="1">
        <v>15094</v>
      </c>
      <c r="C4107" t="s">
        <v>3933</v>
      </c>
      <c r="D4107" t="s">
        <v>3872</v>
      </c>
    </row>
    <row r="4108" spans="1:4" x14ac:dyDescent="0.25">
      <c r="A4108" s="2" t="s">
        <v>3962</v>
      </c>
      <c r="B4108" s="1">
        <v>15062</v>
      </c>
      <c r="C4108" t="s">
        <v>3933</v>
      </c>
      <c r="D4108" t="s">
        <v>3872</v>
      </c>
    </row>
    <row r="4109" spans="1:4" x14ac:dyDescent="0.25">
      <c r="A4109" s="2" t="s">
        <v>3963</v>
      </c>
      <c r="B4109" s="1">
        <v>14977</v>
      </c>
      <c r="C4109" t="s">
        <v>3933</v>
      </c>
      <c r="D4109" t="s">
        <v>3872</v>
      </c>
    </row>
    <row r="4110" spans="1:4" x14ac:dyDescent="0.25">
      <c r="A4110" s="2" t="s">
        <v>3964</v>
      </c>
      <c r="B4110" s="1">
        <v>14977</v>
      </c>
      <c r="C4110" t="s">
        <v>3965</v>
      </c>
      <c r="D4110" t="s">
        <v>3966</v>
      </c>
    </row>
    <row r="4111" spans="1:4" x14ac:dyDescent="0.25">
      <c r="A4111" s="2" t="s">
        <v>3967</v>
      </c>
      <c r="B4111" s="1">
        <v>14977</v>
      </c>
      <c r="C4111" t="s">
        <v>3965</v>
      </c>
      <c r="D4111" t="s">
        <v>3966</v>
      </c>
    </row>
    <row r="4112" spans="1:4" x14ac:dyDescent="0.25">
      <c r="A4112" s="2" t="s">
        <v>3968</v>
      </c>
      <c r="B4112" s="1">
        <v>14990</v>
      </c>
      <c r="C4112" t="s">
        <v>3965</v>
      </c>
      <c r="D4112" t="s">
        <v>3966</v>
      </c>
    </row>
    <row r="4113" spans="1:4" x14ac:dyDescent="0.25">
      <c r="A4113" s="2" t="s">
        <v>3969</v>
      </c>
      <c r="B4113" s="1">
        <v>14913</v>
      </c>
      <c r="C4113" t="s">
        <v>3965</v>
      </c>
      <c r="D4113" t="s">
        <v>3966</v>
      </c>
    </row>
    <row r="4114" spans="1:4" x14ac:dyDescent="0.25">
      <c r="A4114" s="2" t="s">
        <v>3970</v>
      </c>
      <c r="B4114" s="1">
        <v>14933</v>
      </c>
      <c r="C4114" t="s">
        <v>3965</v>
      </c>
      <c r="D4114" t="s">
        <v>3966</v>
      </c>
    </row>
    <row r="4115" spans="1:4" x14ac:dyDescent="0.25">
      <c r="A4115" s="2" t="s">
        <v>3971</v>
      </c>
      <c r="B4115" s="1">
        <v>14943</v>
      </c>
      <c r="C4115" t="s">
        <v>3965</v>
      </c>
      <c r="D4115" t="s">
        <v>3966</v>
      </c>
    </row>
    <row r="4116" spans="1:4" x14ac:dyDescent="0.25">
      <c r="A4116" s="2" t="s">
        <v>3972</v>
      </c>
      <c r="B4116" s="1">
        <v>14943</v>
      </c>
      <c r="C4116" t="s">
        <v>3965</v>
      </c>
      <c r="D4116" t="s">
        <v>3966</v>
      </c>
    </row>
    <row r="4117" spans="1:4" x14ac:dyDescent="0.25">
      <c r="A4117" s="2" t="s">
        <v>3973</v>
      </c>
      <c r="B4117" s="1">
        <v>14943</v>
      </c>
      <c r="C4117" t="s">
        <v>3965</v>
      </c>
      <c r="D4117" t="s">
        <v>3966</v>
      </c>
    </row>
    <row r="4118" spans="1:4" x14ac:dyDescent="0.25">
      <c r="A4118" s="2" t="s">
        <v>3974</v>
      </c>
      <c r="B4118" s="1">
        <v>14943</v>
      </c>
      <c r="C4118" t="s">
        <v>3965</v>
      </c>
      <c r="D4118" t="s">
        <v>3966</v>
      </c>
    </row>
    <row r="4119" spans="1:4" x14ac:dyDescent="0.25">
      <c r="A4119" s="2" t="s">
        <v>3975</v>
      </c>
      <c r="B4119" s="1">
        <v>14905</v>
      </c>
      <c r="C4119" t="s">
        <v>3965</v>
      </c>
      <c r="D4119" t="s">
        <v>3966</v>
      </c>
    </row>
    <row r="4120" spans="1:4" x14ac:dyDescent="0.25">
      <c r="A4120" s="2" t="s">
        <v>3976</v>
      </c>
      <c r="B4120" s="1">
        <v>14888</v>
      </c>
      <c r="C4120" t="s">
        <v>3965</v>
      </c>
      <c r="D4120" t="s">
        <v>3966</v>
      </c>
    </row>
    <row r="4121" spans="1:4" x14ac:dyDescent="0.25">
      <c r="A4121" s="2" t="s">
        <v>3977</v>
      </c>
      <c r="B4121" s="1">
        <v>14866</v>
      </c>
      <c r="C4121" t="s">
        <v>3965</v>
      </c>
      <c r="D4121" t="s">
        <v>3966</v>
      </c>
    </row>
    <row r="4122" spans="1:4" x14ac:dyDescent="0.25">
      <c r="A4122" s="2" t="s">
        <v>3978</v>
      </c>
      <c r="B4122" s="1">
        <v>14792</v>
      </c>
      <c r="C4122" t="s">
        <v>3965</v>
      </c>
      <c r="D4122" t="s">
        <v>3966</v>
      </c>
    </row>
    <row r="4123" spans="1:4" x14ac:dyDescent="0.25">
      <c r="A4123" s="2" t="s">
        <v>3979</v>
      </c>
      <c r="B4123" s="1">
        <v>14666</v>
      </c>
      <c r="C4123" t="s">
        <v>3965</v>
      </c>
      <c r="D4123" t="s">
        <v>3966</v>
      </c>
    </row>
    <row r="4124" spans="1:4" x14ac:dyDescent="0.25">
      <c r="A4124" s="2" t="s">
        <v>3980</v>
      </c>
      <c r="B4124" s="1">
        <v>14666</v>
      </c>
      <c r="C4124" t="s">
        <v>3965</v>
      </c>
      <c r="D4124" t="s">
        <v>3966</v>
      </c>
    </row>
    <row r="4125" spans="1:4" x14ac:dyDescent="0.25">
      <c r="A4125" s="2" t="s">
        <v>3981</v>
      </c>
      <c r="B4125" s="1">
        <v>14666</v>
      </c>
      <c r="C4125" t="s">
        <v>3965</v>
      </c>
      <c r="D4125" t="s">
        <v>3966</v>
      </c>
    </row>
    <row r="4126" spans="1:4" x14ac:dyDescent="0.25">
      <c r="A4126" s="2" t="s">
        <v>3982</v>
      </c>
      <c r="B4126" s="1">
        <v>14773</v>
      </c>
      <c r="C4126" t="s">
        <v>3965</v>
      </c>
      <c r="D4126" t="s">
        <v>3966</v>
      </c>
    </row>
    <row r="4127" spans="1:4" x14ac:dyDescent="0.25">
      <c r="A4127" s="2" t="s">
        <v>3983</v>
      </c>
      <c r="B4127" s="1">
        <v>14855</v>
      </c>
      <c r="C4127" t="s">
        <v>3965</v>
      </c>
      <c r="D4127" t="s">
        <v>3966</v>
      </c>
    </row>
    <row r="4128" spans="1:4" x14ac:dyDescent="0.25">
      <c r="A4128" s="2" t="s">
        <v>3984</v>
      </c>
      <c r="B4128" s="1">
        <v>14855</v>
      </c>
      <c r="C4128" t="s">
        <v>3965</v>
      </c>
      <c r="D4128" t="s">
        <v>3966</v>
      </c>
    </row>
    <row r="4129" spans="1:4" x14ac:dyDescent="0.25">
      <c r="A4129" s="2" t="s">
        <v>3985</v>
      </c>
      <c r="B4129" s="1">
        <v>14855</v>
      </c>
      <c r="C4129" t="s">
        <v>3965</v>
      </c>
      <c r="D4129" t="s">
        <v>3966</v>
      </c>
    </row>
    <row r="4130" spans="1:4" x14ac:dyDescent="0.25">
      <c r="A4130" s="2" t="s">
        <v>3986</v>
      </c>
      <c r="B4130" s="1">
        <v>14855</v>
      </c>
      <c r="C4130" t="s">
        <v>3965</v>
      </c>
      <c r="D4130" t="s">
        <v>3966</v>
      </c>
    </row>
    <row r="4131" spans="1:4" x14ac:dyDescent="0.25">
      <c r="A4131" s="2" t="s">
        <v>3987</v>
      </c>
      <c r="B4131" s="1">
        <v>14855</v>
      </c>
      <c r="C4131" t="s">
        <v>3965</v>
      </c>
      <c r="D4131" t="s">
        <v>3966</v>
      </c>
    </row>
    <row r="4132" spans="1:4" x14ac:dyDescent="0.25">
      <c r="A4132" s="2" t="s">
        <v>3988</v>
      </c>
      <c r="B4132" s="1">
        <v>14855</v>
      </c>
      <c r="C4132" t="s">
        <v>3965</v>
      </c>
      <c r="D4132" t="s">
        <v>3966</v>
      </c>
    </row>
    <row r="4133" spans="1:4" x14ac:dyDescent="0.25">
      <c r="A4133" s="2" t="s">
        <v>3989</v>
      </c>
      <c r="B4133" s="1">
        <v>14855</v>
      </c>
      <c r="C4133" t="s">
        <v>3965</v>
      </c>
      <c r="D4133" t="s">
        <v>3966</v>
      </c>
    </row>
    <row r="4134" spans="1:4" x14ac:dyDescent="0.25">
      <c r="A4134" s="2" t="s">
        <v>3990</v>
      </c>
      <c r="B4134" s="1">
        <v>14855</v>
      </c>
      <c r="C4134" t="s">
        <v>3965</v>
      </c>
      <c r="D4134" t="s">
        <v>3966</v>
      </c>
    </row>
    <row r="4135" spans="1:4" x14ac:dyDescent="0.25">
      <c r="A4135" s="2" t="s">
        <v>3991</v>
      </c>
      <c r="B4135" s="1">
        <v>14882</v>
      </c>
      <c r="C4135" t="s">
        <v>3965</v>
      </c>
      <c r="D4135" t="s">
        <v>3966</v>
      </c>
    </row>
    <row r="4136" spans="1:4" x14ac:dyDescent="0.25">
      <c r="A4136" s="2" t="s">
        <v>3992</v>
      </c>
      <c r="B4136" s="1">
        <v>14751</v>
      </c>
      <c r="C4136" t="s">
        <v>3965</v>
      </c>
      <c r="D4136" t="s">
        <v>3966</v>
      </c>
    </row>
    <row r="4137" spans="1:4" x14ac:dyDescent="0.25">
      <c r="A4137" s="2" t="s">
        <v>3993</v>
      </c>
      <c r="B4137" s="1">
        <v>14661</v>
      </c>
      <c r="C4137" t="s">
        <v>3965</v>
      </c>
      <c r="D4137" t="s">
        <v>3966</v>
      </c>
    </row>
    <row r="4138" spans="1:4" x14ac:dyDescent="0.25">
      <c r="A4138" s="2" t="s">
        <v>3994</v>
      </c>
      <c r="B4138" s="1">
        <v>14661</v>
      </c>
      <c r="C4138" t="s">
        <v>3965</v>
      </c>
      <c r="D4138" t="s">
        <v>3966</v>
      </c>
    </row>
    <row r="4139" spans="1:4" x14ac:dyDescent="0.25">
      <c r="A4139" s="2" t="s">
        <v>3995</v>
      </c>
      <c r="B4139" s="1">
        <v>14661</v>
      </c>
      <c r="C4139" t="s">
        <v>3965</v>
      </c>
      <c r="D4139" t="s">
        <v>3966</v>
      </c>
    </row>
    <row r="4140" spans="1:4" x14ac:dyDescent="0.25">
      <c r="A4140" s="2" t="s">
        <v>3996</v>
      </c>
      <c r="B4140" s="1">
        <v>14661</v>
      </c>
      <c r="C4140" t="s">
        <v>3997</v>
      </c>
      <c r="D4140" t="s">
        <v>3966</v>
      </c>
    </row>
    <row r="4141" spans="1:4" x14ac:dyDescent="0.25">
      <c r="A4141" s="2" t="s">
        <v>3998</v>
      </c>
      <c r="B4141" s="1">
        <v>14703</v>
      </c>
      <c r="C4141" t="s">
        <v>3997</v>
      </c>
      <c r="D4141" t="s">
        <v>3966</v>
      </c>
    </row>
    <row r="4142" spans="1:4" x14ac:dyDescent="0.25">
      <c r="A4142" s="2" t="s">
        <v>3999</v>
      </c>
      <c r="B4142" s="1">
        <v>14706</v>
      </c>
      <c r="C4142" t="s">
        <v>3997</v>
      </c>
      <c r="D4142" t="s">
        <v>3966</v>
      </c>
    </row>
    <row r="4143" spans="1:4" x14ac:dyDescent="0.25">
      <c r="A4143" s="2" t="s">
        <v>4000</v>
      </c>
      <c r="B4143" s="1">
        <v>14706</v>
      </c>
      <c r="C4143" t="s">
        <v>3997</v>
      </c>
      <c r="D4143" t="s">
        <v>3966</v>
      </c>
    </row>
    <row r="4144" spans="1:4" x14ac:dyDescent="0.25">
      <c r="A4144" s="2" t="s">
        <v>4001</v>
      </c>
      <c r="B4144" s="1">
        <v>14632</v>
      </c>
      <c r="C4144" t="s">
        <v>3997</v>
      </c>
      <c r="D4144" t="s">
        <v>3966</v>
      </c>
    </row>
    <row r="4145" spans="1:4" x14ac:dyDescent="0.25">
      <c r="A4145" s="2" t="s">
        <v>4002</v>
      </c>
      <c r="B4145" s="1">
        <v>14632</v>
      </c>
      <c r="C4145" t="s">
        <v>3997</v>
      </c>
      <c r="D4145" t="s">
        <v>3966</v>
      </c>
    </row>
    <row r="4146" spans="1:4" x14ac:dyDescent="0.25">
      <c r="A4146" s="2" t="s">
        <v>4003</v>
      </c>
      <c r="B4146" s="1">
        <v>14632</v>
      </c>
      <c r="C4146" t="s">
        <v>3997</v>
      </c>
      <c r="D4146" t="s">
        <v>3966</v>
      </c>
    </row>
    <row r="4147" spans="1:4" x14ac:dyDescent="0.25">
      <c r="A4147" s="2" t="s">
        <v>4004</v>
      </c>
      <c r="B4147" s="1">
        <v>14674</v>
      </c>
      <c r="C4147" t="s">
        <v>3997</v>
      </c>
      <c r="D4147" t="s">
        <v>3966</v>
      </c>
    </row>
    <row r="4148" spans="1:4" x14ac:dyDescent="0.25">
      <c r="A4148" s="2" t="s">
        <v>4005</v>
      </c>
      <c r="B4148" s="1">
        <v>14709</v>
      </c>
      <c r="C4148" t="s">
        <v>3997</v>
      </c>
      <c r="D4148" t="s">
        <v>3966</v>
      </c>
    </row>
    <row r="4149" spans="1:4" x14ac:dyDescent="0.25">
      <c r="A4149" s="2" t="s">
        <v>4006</v>
      </c>
      <c r="B4149" s="1">
        <v>14757</v>
      </c>
      <c r="C4149" t="s">
        <v>3997</v>
      </c>
      <c r="D4149" t="s">
        <v>3966</v>
      </c>
    </row>
    <row r="4150" spans="1:4" x14ac:dyDescent="0.25">
      <c r="A4150" s="2" t="s">
        <v>4007</v>
      </c>
      <c r="B4150" s="1">
        <v>14746</v>
      </c>
      <c r="C4150" t="s">
        <v>3997</v>
      </c>
      <c r="D4150" t="s">
        <v>3966</v>
      </c>
    </row>
    <row r="4151" spans="1:4" x14ac:dyDescent="0.25">
      <c r="A4151" s="2" t="s">
        <v>4008</v>
      </c>
      <c r="B4151" s="1">
        <v>14722</v>
      </c>
      <c r="C4151" t="s">
        <v>3997</v>
      </c>
      <c r="D4151" t="s">
        <v>3966</v>
      </c>
    </row>
    <row r="4152" spans="1:4" x14ac:dyDescent="0.25">
      <c r="A4152" s="2" t="s">
        <v>4009</v>
      </c>
      <c r="B4152" s="1">
        <v>14722</v>
      </c>
      <c r="C4152" t="s">
        <v>3997</v>
      </c>
      <c r="D4152" t="s">
        <v>3966</v>
      </c>
    </row>
    <row r="4153" spans="1:4" x14ac:dyDescent="0.25">
      <c r="A4153" s="2" t="s">
        <v>4010</v>
      </c>
      <c r="B4153" s="1">
        <v>14722</v>
      </c>
      <c r="C4153" t="s">
        <v>3997</v>
      </c>
      <c r="D4153" t="s">
        <v>3966</v>
      </c>
    </row>
    <row r="4154" spans="1:4" x14ac:dyDescent="0.25">
      <c r="A4154" s="2" t="s">
        <v>4011</v>
      </c>
      <c r="B4154" s="1">
        <v>14752</v>
      </c>
      <c r="C4154" t="s">
        <v>3997</v>
      </c>
      <c r="D4154" t="s">
        <v>3966</v>
      </c>
    </row>
    <row r="4155" spans="1:4" x14ac:dyDescent="0.25">
      <c r="A4155" s="2" t="s">
        <v>4012</v>
      </c>
      <c r="B4155" s="1">
        <v>14812</v>
      </c>
      <c r="C4155" t="s">
        <v>3997</v>
      </c>
      <c r="D4155" t="s">
        <v>3966</v>
      </c>
    </row>
    <row r="4156" spans="1:4" x14ac:dyDescent="0.25">
      <c r="A4156" s="2" t="s">
        <v>4013</v>
      </c>
      <c r="B4156" s="1">
        <v>14810</v>
      </c>
      <c r="C4156" t="s">
        <v>3997</v>
      </c>
      <c r="D4156" t="s">
        <v>3966</v>
      </c>
    </row>
    <row r="4157" spans="1:4" x14ac:dyDescent="0.25">
      <c r="A4157" s="2" t="s">
        <v>4014</v>
      </c>
      <c r="B4157" s="1">
        <v>14810</v>
      </c>
      <c r="C4157" t="s">
        <v>3997</v>
      </c>
      <c r="D4157" t="s">
        <v>3966</v>
      </c>
    </row>
    <row r="4158" spans="1:4" x14ac:dyDescent="0.25">
      <c r="A4158" s="2" t="s">
        <v>4015</v>
      </c>
      <c r="B4158" s="1">
        <v>14875</v>
      </c>
      <c r="C4158" t="s">
        <v>3997</v>
      </c>
      <c r="D4158" t="s">
        <v>3966</v>
      </c>
    </row>
    <row r="4159" spans="1:4" x14ac:dyDescent="0.25">
      <c r="A4159" s="2" t="s">
        <v>4016</v>
      </c>
      <c r="B4159" s="1">
        <v>14875</v>
      </c>
      <c r="C4159" t="s">
        <v>3997</v>
      </c>
      <c r="D4159" t="s">
        <v>3966</v>
      </c>
    </row>
    <row r="4160" spans="1:4" x14ac:dyDescent="0.25">
      <c r="A4160" s="2" t="s">
        <v>4017</v>
      </c>
      <c r="B4160" s="1">
        <v>14875</v>
      </c>
      <c r="C4160" t="s">
        <v>3997</v>
      </c>
      <c r="D4160" t="s">
        <v>3966</v>
      </c>
    </row>
    <row r="4161" spans="1:4" x14ac:dyDescent="0.25">
      <c r="A4161" s="2" t="s">
        <v>4018</v>
      </c>
      <c r="B4161" s="1">
        <v>14936</v>
      </c>
      <c r="C4161" t="s">
        <v>3997</v>
      </c>
      <c r="D4161" t="s">
        <v>3966</v>
      </c>
    </row>
    <row r="4162" spans="1:4" x14ac:dyDescent="0.25">
      <c r="A4162" s="2" t="s">
        <v>4019</v>
      </c>
      <c r="B4162" s="1">
        <v>14897</v>
      </c>
      <c r="C4162" t="s">
        <v>3997</v>
      </c>
      <c r="D4162" t="s">
        <v>3966</v>
      </c>
    </row>
    <row r="4163" spans="1:4" x14ac:dyDescent="0.25">
      <c r="A4163" s="2" t="s">
        <v>4020</v>
      </c>
      <c r="B4163" s="1">
        <v>14878</v>
      </c>
      <c r="C4163" t="s">
        <v>3997</v>
      </c>
      <c r="D4163" t="s">
        <v>3966</v>
      </c>
    </row>
    <row r="4164" spans="1:4" x14ac:dyDescent="0.25">
      <c r="A4164" s="2" t="s">
        <v>4021</v>
      </c>
      <c r="B4164" s="1">
        <v>14905</v>
      </c>
      <c r="C4164" t="s">
        <v>3997</v>
      </c>
      <c r="D4164" t="s">
        <v>3966</v>
      </c>
    </row>
    <row r="4165" spans="1:4" x14ac:dyDescent="0.25">
      <c r="A4165" s="2" t="s">
        <v>4022</v>
      </c>
      <c r="B4165" s="1">
        <v>14952</v>
      </c>
      <c r="C4165" t="s">
        <v>3997</v>
      </c>
      <c r="D4165" t="s">
        <v>3966</v>
      </c>
    </row>
    <row r="4166" spans="1:4" x14ac:dyDescent="0.25">
      <c r="A4166" s="2" t="s">
        <v>4023</v>
      </c>
      <c r="B4166" s="1">
        <v>14952</v>
      </c>
      <c r="C4166" t="s">
        <v>3997</v>
      </c>
      <c r="D4166" t="s">
        <v>3966</v>
      </c>
    </row>
    <row r="4167" spans="1:4" x14ac:dyDescent="0.25">
      <c r="A4167" s="2" t="s">
        <v>4024</v>
      </c>
      <c r="B4167" s="1">
        <v>14952</v>
      </c>
      <c r="C4167" t="s">
        <v>3997</v>
      </c>
      <c r="D4167" t="s">
        <v>3966</v>
      </c>
    </row>
    <row r="4168" spans="1:4" x14ac:dyDescent="0.25">
      <c r="A4168" s="2" t="s">
        <v>4025</v>
      </c>
      <c r="B4168" s="1">
        <v>14959</v>
      </c>
      <c r="C4168" t="s">
        <v>3997</v>
      </c>
      <c r="D4168" t="s">
        <v>3966</v>
      </c>
    </row>
    <row r="4169" spans="1:4" x14ac:dyDescent="0.25">
      <c r="A4169" s="2" t="s">
        <v>4026</v>
      </c>
      <c r="B4169" s="1">
        <v>14973</v>
      </c>
      <c r="C4169" t="s">
        <v>3997</v>
      </c>
      <c r="D4169" t="s">
        <v>3966</v>
      </c>
    </row>
    <row r="4170" spans="1:4" x14ac:dyDescent="0.25">
      <c r="A4170" s="2" t="s">
        <v>4027</v>
      </c>
      <c r="B4170" s="1">
        <v>14969</v>
      </c>
      <c r="C4170" t="s">
        <v>3997</v>
      </c>
      <c r="D4170" t="s">
        <v>3966</v>
      </c>
    </row>
    <row r="4171" spans="1:4" x14ac:dyDescent="0.25">
      <c r="A4171" s="2" t="s">
        <v>4028</v>
      </c>
      <c r="B4171" s="1">
        <v>14969</v>
      </c>
      <c r="C4171" t="s">
        <v>4029</v>
      </c>
      <c r="D4171" t="s">
        <v>3966</v>
      </c>
    </row>
    <row r="4172" spans="1:4" x14ac:dyDescent="0.25">
      <c r="A4172" s="2" t="s">
        <v>4030</v>
      </c>
      <c r="B4172" s="1">
        <v>14969</v>
      </c>
      <c r="C4172" t="s">
        <v>4029</v>
      </c>
      <c r="D4172" t="s">
        <v>3966</v>
      </c>
    </row>
    <row r="4173" spans="1:4" x14ac:dyDescent="0.25">
      <c r="A4173" s="2" t="s">
        <v>4031</v>
      </c>
      <c r="B4173" s="1">
        <v>14969</v>
      </c>
      <c r="C4173" t="s">
        <v>4029</v>
      </c>
      <c r="D4173" t="s">
        <v>3966</v>
      </c>
    </row>
    <row r="4174" spans="1:4" x14ac:dyDescent="0.25">
      <c r="A4174" s="2" t="s">
        <v>4032</v>
      </c>
      <c r="B4174" s="1">
        <v>14969</v>
      </c>
      <c r="C4174" t="s">
        <v>4029</v>
      </c>
      <c r="D4174" t="s">
        <v>3966</v>
      </c>
    </row>
    <row r="4175" spans="1:4" x14ac:dyDescent="0.25">
      <c r="A4175" s="2" t="s">
        <v>4033</v>
      </c>
      <c r="B4175" s="1">
        <v>15003</v>
      </c>
      <c r="C4175" t="s">
        <v>4029</v>
      </c>
      <c r="D4175" t="s">
        <v>3966</v>
      </c>
    </row>
    <row r="4176" spans="1:4" x14ac:dyDescent="0.25">
      <c r="A4176" s="2" t="s">
        <v>4034</v>
      </c>
      <c r="B4176" s="1">
        <v>14888</v>
      </c>
      <c r="C4176" t="s">
        <v>4029</v>
      </c>
      <c r="D4176" t="s">
        <v>3966</v>
      </c>
    </row>
    <row r="4177" spans="1:4" x14ac:dyDescent="0.25">
      <c r="A4177" s="2" t="s">
        <v>4035</v>
      </c>
      <c r="B4177" s="1">
        <v>14839</v>
      </c>
      <c r="C4177" t="s">
        <v>4029</v>
      </c>
      <c r="D4177" t="s">
        <v>3966</v>
      </c>
    </row>
    <row r="4178" spans="1:4" x14ac:dyDescent="0.25">
      <c r="A4178" s="2" t="s">
        <v>4036</v>
      </c>
      <c r="B4178" s="1">
        <v>14875</v>
      </c>
      <c r="C4178" t="s">
        <v>4029</v>
      </c>
      <c r="D4178" t="s">
        <v>3966</v>
      </c>
    </row>
    <row r="4179" spans="1:4" x14ac:dyDescent="0.25">
      <c r="A4179" s="2" t="s">
        <v>4037</v>
      </c>
      <c r="B4179" s="1">
        <v>14903</v>
      </c>
      <c r="C4179" t="s">
        <v>4029</v>
      </c>
      <c r="D4179" t="s">
        <v>3966</v>
      </c>
    </row>
    <row r="4180" spans="1:4" x14ac:dyDescent="0.25">
      <c r="A4180" s="2" t="s">
        <v>4038</v>
      </c>
      <c r="B4180" s="1">
        <v>14903</v>
      </c>
      <c r="C4180" t="s">
        <v>4029</v>
      </c>
      <c r="D4180" t="s">
        <v>3966</v>
      </c>
    </row>
    <row r="4181" spans="1:4" x14ac:dyDescent="0.25">
      <c r="A4181" s="2" t="s">
        <v>4039</v>
      </c>
      <c r="B4181" s="1">
        <v>14903</v>
      </c>
      <c r="C4181" t="s">
        <v>4029</v>
      </c>
      <c r="D4181" t="s">
        <v>3966</v>
      </c>
    </row>
    <row r="4182" spans="1:4" x14ac:dyDescent="0.25">
      <c r="A4182" s="2" t="s">
        <v>4040</v>
      </c>
      <c r="B4182" s="1">
        <v>14853</v>
      </c>
      <c r="C4182" t="s">
        <v>4029</v>
      </c>
      <c r="D4182" t="s">
        <v>3966</v>
      </c>
    </row>
    <row r="4183" spans="1:4" x14ac:dyDescent="0.25">
      <c r="A4183" s="2" t="s">
        <v>4041</v>
      </c>
      <c r="B4183" s="1">
        <v>14874</v>
      </c>
      <c r="C4183" t="s">
        <v>4029</v>
      </c>
      <c r="D4183" t="s">
        <v>3966</v>
      </c>
    </row>
    <row r="4184" spans="1:4" x14ac:dyDescent="0.25">
      <c r="A4184" s="2" t="s">
        <v>4042</v>
      </c>
      <c r="B4184" s="1">
        <v>14868</v>
      </c>
      <c r="C4184" t="s">
        <v>4029</v>
      </c>
      <c r="D4184" t="s">
        <v>3966</v>
      </c>
    </row>
    <row r="4185" spans="1:4" x14ac:dyDescent="0.25">
      <c r="A4185" s="2" t="s">
        <v>4043</v>
      </c>
      <c r="B4185" s="1">
        <v>14895</v>
      </c>
      <c r="C4185" t="s">
        <v>4029</v>
      </c>
      <c r="D4185" t="s">
        <v>3966</v>
      </c>
    </row>
    <row r="4186" spans="1:4" x14ac:dyDescent="0.25">
      <c r="A4186" s="2" t="s">
        <v>4044</v>
      </c>
      <c r="B4186" s="1">
        <v>14943</v>
      </c>
      <c r="C4186" t="s">
        <v>4029</v>
      </c>
      <c r="D4186" t="s">
        <v>3966</v>
      </c>
    </row>
    <row r="4187" spans="1:4" x14ac:dyDescent="0.25">
      <c r="A4187" s="2" t="s">
        <v>4045</v>
      </c>
      <c r="B4187" s="1">
        <v>14943</v>
      </c>
      <c r="C4187" t="s">
        <v>4029</v>
      </c>
      <c r="D4187" t="s">
        <v>3966</v>
      </c>
    </row>
    <row r="4188" spans="1:4" x14ac:dyDescent="0.25">
      <c r="A4188" s="2" t="s">
        <v>4046</v>
      </c>
      <c r="B4188" s="1">
        <v>14943</v>
      </c>
      <c r="C4188" t="s">
        <v>4029</v>
      </c>
      <c r="D4188" t="s">
        <v>3966</v>
      </c>
    </row>
    <row r="4189" spans="1:4" x14ac:dyDescent="0.25">
      <c r="A4189" s="2" t="s">
        <v>4047</v>
      </c>
      <c r="B4189" s="1">
        <v>14945</v>
      </c>
      <c r="C4189" t="s">
        <v>4029</v>
      </c>
      <c r="D4189" t="s">
        <v>3966</v>
      </c>
    </row>
    <row r="4190" spans="1:4" x14ac:dyDescent="0.25">
      <c r="A4190" s="2" t="s">
        <v>4048</v>
      </c>
      <c r="B4190" s="1">
        <v>14994</v>
      </c>
      <c r="C4190" t="s">
        <v>4029</v>
      </c>
      <c r="D4190" t="s">
        <v>3966</v>
      </c>
    </row>
    <row r="4191" spans="1:4" x14ac:dyDescent="0.25">
      <c r="A4191" s="2" t="s">
        <v>4049</v>
      </c>
      <c r="B4191" s="1">
        <v>15040</v>
      </c>
      <c r="C4191" t="s">
        <v>4029</v>
      </c>
      <c r="D4191" t="s">
        <v>3966</v>
      </c>
    </row>
    <row r="4192" spans="1:4" x14ac:dyDescent="0.25">
      <c r="A4192" s="2" t="s">
        <v>4050</v>
      </c>
      <c r="B4192" s="1">
        <v>14982</v>
      </c>
      <c r="C4192" t="s">
        <v>4029</v>
      </c>
      <c r="D4192" t="s">
        <v>3966</v>
      </c>
    </row>
    <row r="4193" spans="1:4" x14ac:dyDescent="0.25">
      <c r="A4193" s="2" t="s">
        <v>4051</v>
      </c>
      <c r="B4193" s="1">
        <v>14918</v>
      </c>
      <c r="C4193" t="s">
        <v>4029</v>
      </c>
      <c r="D4193" t="s">
        <v>3966</v>
      </c>
    </row>
    <row r="4194" spans="1:4" x14ac:dyDescent="0.25">
      <c r="A4194" s="2" t="s">
        <v>4052</v>
      </c>
      <c r="B4194" s="1">
        <v>14918</v>
      </c>
      <c r="C4194" t="s">
        <v>4029</v>
      </c>
      <c r="D4194" t="s">
        <v>3966</v>
      </c>
    </row>
    <row r="4195" spans="1:4" x14ac:dyDescent="0.25">
      <c r="A4195" s="2" t="s">
        <v>4053</v>
      </c>
      <c r="B4195" s="1">
        <v>14918</v>
      </c>
      <c r="C4195" t="s">
        <v>4029</v>
      </c>
      <c r="D4195" t="s">
        <v>3966</v>
      </c>
    </row>
    <row r="4196" spans="1:4" x14ac:dyDescent="0.25">
      <c r="A4196" s="2" t="s">
        <v>4054</v>
      </c>
      <c r="B4196" s="1">
        <v>14998</v>
      </c>
      <c r="C4196" t="s">
        <v>4029</v>
      </c>
      <c r="D4196" t="s">
        <v>3966</v>
      </c>
    </row>
    <row r="4197" spans="1:4" x14ac:dyDescent="0.25">
      <c r="A4197" s="2" t="s">
        <v>4055</v>
      </c>
      <c r="B4197" s="1">
        <v>15026</v>
      </c>
      <c r="C4197" t="s">
        <v>4029</v>
      </c>
      <c r="D4197" t="s">
        <v>3966</v>
      </c>
    </row>
    <row r="4198" spans="1:4" x14ac:dyDescent="0.25">
      <c r="A4198" s="2" t="s">
        <v>4056</v>
      </c>
      <c r="B4198" s="1">
        <v>15026</v>
      </c>
      <c r="C4198" t="s">
        <v>4029</v>
      </c>
      <c r="D4198" t="s">
        <v>3966</v>
      </c>
    </row>
    <row r="4199" spans="1:4" x14ac:dyDescent="0.25">
      <c r="A4199" s="2" t="s">
        <v>4057</v>
      </c>
      <c r="B4199" s="1">
        <v>15026</v>
      </c>
      <c r="C4199" t="s">
        <v>4029</v>
      </c>
      <c r="D4199" t="s">
        <v>3966</v>
      </c>
    </row>
    <row r="4200" spans="1:4" x14ac:dyDescent="0.25">
      <c r="A4200" s="2" t="s">
        <v>4058</v>
      </c>
      <c r="B4200" s="1">
        <v>15026</v>
      </c>
      <c r="C4200" t="s">
        <v>4029</v>
      </c>
      <c r="D4200" t="s">
        <v>3966</v>
      </c>
    </row>
    <row r="4201" spans="1:4" x14ac:dyDescent="0.25">
      <c r="A4201" s="2" t="s">
        <v>4059</v>
      </c>
      <c r="B4201" s="1">
        <v>15026</v>
      </c>
      <c r="C4201" t="s">
        <v>4060</v>
      </c>
      <c r="D4201" t="s">
        <v>4061</v>
      </c>
    </row>
    <row r="4202" spans="1:4" x14ac:dyDescent="0.25">
      <c r="A4202" s="2" t="s">
        <v>4062</v>
      </c>
      <c r="B4202" s="1">
        <v>15026</v>
      </c>
      <c r="C4202" t="s">
        <v>4060</v>
      </c>
      <c r="D4202" t="s">
        <v>4061</v>
      </c>
    </row>
    <row r="4203" spans="1:4" x14ac:dyDescent="0.25">
      <c r="A4203" s="2" t="s">
        <v>4063</v>
      </c>
      <c r="B4203" s="1">
        <v>15000</v>
      </c>
      <c r="C4203" t="s">
        <v>4060</v>
      </c>
      <c r="D4203" t="s">
        <v>4061</v>
      </c>
    </row>
    <row r="4204" spans="1:4" x14ac:dyDescent="0.25">
      <c r="A4204" s="2" t="s">
        <v>4064</v>
      </c>
      <c r="B4204" s="1">
        <v>15034</v>
      </c>
      <c r="C4204" t="s">
        <v>4060</v>
      </c>
      <c r="D4204" t="s">
        <v>4061</v>
      </c>
    </row>
    <row r="4205" spans="1:4" x14ac:dyDescent="0.25">
      <c r="A4205" s="2" t="s">
        <v>4065</v>
      </c>
      <c r="B4205" s="1">
        <v>15018</v>
      </c>
      <c r="C4205" t="s">
        <v>4060</v>
      </c>
      <c r="D4205" t="s">
        <v>4061</v>
      </c>
    </row>
    <row r="4206" spans="1:4" x14ac:dyDescent="0.25">
      <c r="A4206" s="2" t="s">
        <v>4066</v>
      </c>
      <c r="B4206" s="1">
        <v>15013</v>
      </c>
      <c r="C4206" t="s">
        <v>4060</v>
      </c>
      <c r="D4206" t="s">
        <v>4061</v>
      </c>
    </row>
    <row r="4207" spans="1:4" x14ac:dyDescent="0.25">
      <c r="A4207" s="2" t="s">
        <v>4067</v>
      </c>
      <c r="B4207" s="1">
        <v>15062</v>
      </c>
      <c r="C4207" t="s">
        <v>4060</v>
      </c>
      <c r="D4207" t="s">
        <v>4061</v>
      </c>
    </row>
    <row r="4208" spans="1:4" x14ac:dyDescent="0.25">
      <c r="A4208" s="2" t="s">
        <v>4068</v>
      </c>
      <c r="B4208" s="1">
        <v>15062</v>
      </c>
      <c r="C4208" t="s">
        <v>4060</v>
      </c>
      <c r="D4208" t="s">
        <v>4061</v>
      </c>
    </row>
    <row r="4209" spans="1:4" x14ac:dyDescent="0.25">
      <c r="A4209" s="2" t="s">
        <v>4069</v>
      </c>
      <c r="B4209" s="1">
        <v>15062</v>
      </c>
      <c r="C4209" t="s">
        <v>4060</v>
      </c>
      <c r="D4209" t="s">
        <v>4061</v>
      </c>
    </row>
    <row r="4210" spans="1:4" x14ac:dyDescent="0.25">
      <c r="A4210" s="2" t="s">
        <v>4070</v>
      </c>
      <c r="B4210" s="1">
        <v>15136</v>
      </c>
      <c r="C4210" t="s">
        <v>4060</v>
      </c>
      <c r="D4210" t="s">
        <v>4061</v>
      </c>
    </row>
    <row r="4211" spans="1:4" x14ac:dyDescent="0.25">
      <c r="A4211" s="2" t="s">
        <v>4071</v>
      </c>
      <c r="B4211" s="1">
        <v>15192</v>
      </c>
      <c r="C4211" t="s">
        <v>4060</v>
      </c>
      <c r="D4211" t="s">
        <v>4061</v>
      </c>
    </row>
    <row r="4212" spans="1:4" x14ac:dyDescent="0.25">
      <c r="A4212" s="2" t="s">
        <v>4072</v>
      </c>
      <c r="B4212" s="1">
        <v>15162</v>
      </c>
      <c r="C4212" t="s">
        <v>4060</v>
      </c>
      <c r="D4212" t="s">
        <v>4061</v>
      </c>
    </row>
    <row r="4213" spans="1:4" x14ac:dyDescent="0.25">
      <c r="A4213" s="2" t="s">
        <v>4073</v>
      </c>
      <c r="B4213" s="1">
        <v>15084</v>
      </c>
      <c r="C4213" t="s">
        <v>4060</v>
      </c>
      <c r="D4213" t="s">
        <v>4061</v>
      </c>
    </row>
    <row r="4214" spans="1:4" x14ac:dyDescent="0.25">
      <c r="A4214" s="2" t="s">
        <v>4074</v>
      </c>
      <c r="B4214" s="1">
        <v>14978</v>
      </c>
      <c r="C4214" t="s">
        <v>4060</v>
      </c>
      <c r="D4214" t="s">
        <v>4061</v>
      </c>
    </row>
    <row r="4215" spans="1:4" x14ac:dyDescent="0.25">
      <c r="A4215" s="2" t="s">
        <v>4075</v>
      </c>
      <c r="B4215" s="1">
        <v>14978</v>
      </c>
      <c r="C4215" t="s">
        <v>4060</v>
      </c>
      <c r="D4215" t="s">
        <v>4061</v>
      </c>
    </row>
    <row r="4216" spans="1:4" x14ac:dyDescent="0.25">
      <c r="A4216" s="2" t="s">
        <v>4076</v>
      </c>
      <c r="B4216" s="1">
        <v>14978</v>
      </c>
      <c r="C4216" t="s">
        <v>4060</v>
      </c>
      <c r="D4216" t="s">
        <v>4061</v>
      </c>
    </row>
    <row r="4217" spans="1:4" x14ac:dyDescent="0.25">
      <c r="A4217" s="2" t="s">
        <v>4077</v>
      </c>
      <c r="B4217" s="1">
        <v>14945</v>
      </c>
      <c r="C4217" t="s">
        <v>4060</v>
      </c>
      <c r="D4217" t="s">
        <v>4061</v>
      </c>
    </row>
    <row r="4218" spans="1:4" x14ac:dyDescent="0.25">
      <c r="A4218" s="2" t="s">
        <v>4078</v>
      </c>
      <c r="B4218" s="1">
        <v>15007</v>
      </c>
      <c r="C4218" t="s">
        <v>4060</v>
      </c>
      <c r="D4218" t="s">
        <v>4061</v>
      </c>
    </row>
    <row r="4219" spans="1:4" x14ac:dyDescent="0.25">
      <c r="A4219" s="2" t="s">
        <v>4079</v>
      </c>
      <c r="B4219" s="1">
        <v>15007</v>
      </c>
      <c r="C4219" t="s">
        <v>4060</v>
      </c>
      <c r="D4219" t="s">
        <v>4061</v>
      </c>
    </row>
    <row r="4220" spans="1:4" x14ac:dyDescent="0.25">
      <c r="A4220" s="2" t="s">
        <v>4080</v>
      </c>
      <c r="B4220" s="1">
        <v>14994</v>
      </c>
      <c r="C4220" t="s">
        <v>4060</v>
      </c>
      <c r="D4220" t="s">
        <v>4061</v>
      </c>
    </row>
    <row r="4221" spans="1:4" x14ac:dyDescent="0.25">
      <c r="A4221" s="2" t="s">
        <v>4081</v>
      </c>
      <c r="B4221" s="1">
        <v>14991</v>
      </c>
      <c r="C4221" t="s">
        <v>4060</v>
      </c>
      <c r="D4221" t="s">
        <v>4061</v>
      </c>
    </row>
    <row r="4222" spans="1:4" x14ac:dyDescent="0.25">
      <c r="A4222" s="2" t="s">
        <v>4082</v>
      </c>
      <c r="B4222" s="1">
        <v>14991</v>
      </c>
      <c r="C4222" t="s">
        <v>4060</v>
      </c>
      <c r="D4222" t="s">
        <v>4061</v>
      </c>
    </row>
    <row r="4223" spans="1:4" x14ac:dyDescent="0.25">
      <c r="A4223" s="2" t="s">
        <v>4083</v>
      </c>
      <c r="B4223" s="1">
        <v>14991</v>
      </c>
      <c r="C4223" t="s">
        <v>4060</v>
      </c>
      <c r="D4223" t="s">
        <v>4061</v>
      </c>
    </row>
    <row r="4224" spans="1:4" x14ac:dyDescent="0.25">
      <c r="A4224" s="2" t="s">
        <v>4084</v>
      </c>
      <c r="B4224" s="1">
        <v>15026</v>
      </c>
      <c r="C4224" t="s">
        <v>4060</v>
      </c>
      <c r="D4224" t="s">
        <v>4061</v>
      </c>
    </row>
    <row r="4225" spans="1:4" x14ac:dyDescent="0.25">
      <c r="A4225" s="2" t="s">
        <v>4085</v>
      </c>
      <c r="B4225" s="1">
        <v>15028</v>
      </c>
      <c r="C4225" t="s">
        <v>4060</v>
      </c>
      <c r="D4225" t="s">
        <v>4061</v>
      </c>
    </row>
    <row r="4226" spans="1:4" x14ac:dyDescent="0.25">
      <c r="A4226" s="2" t="s">
        <v>4086</v>
      </c>
      <c r="B4226" s="1">
        <v>15007</v>
      </c>
      <c r="C4226" t="s">
        <v>4060</v>
      </c>
      <c r="D4226" t="s">
        <v>4061</v>
      </c>
    </row>
    <row r="4227" spans="1:4" x14ac:dyDescent="0.25">
      <c r="A4227" s="2" t="s">
        <v>4087</v>
      </c>
      <c r="B4227" s="1">
        <v>15032</v>
      </c>
      <c r="C4227" t="s">
        <v>4060</v>
      </c>
      <c r="D4227" t="s">
        <v>4061</v>
      </c>
    </row>
    <row r="4228" spans="1:4" x14ac:dyDescent="0.25">
      <c r="A4228" s="2" t="s">
        <v>4088</v>
      </c>
      <c r="B4228" s="1">
        <v>15003</v>
      </c>
      <c r="C4228" t="s">
        <v>4060</v>
      </c>
      <c r="D4228" t="s">
        <v>4061</v>
      </c>
    </row>
    <row r="4229" spans="1:4" x14ac:dyDescent="0.25">
      <c r="A4229" s="2" t="s">
        <v>4089</v>
      </c>
      <c r="B4229" s="1">
        <v>15003</v>
      </c>
      <c r="C4229" t="s">
        <v>4060</v>
      </c>
      <c r="D4229" t="s">
        <v>4061</v>
      </c>
    </row>
    <row r="4230" spans="1:4" x14ac:dyDescent="0.25">
      <c r="A4230" s="2" t="s">
        <v>4090</v>
      </c>
      <c r="B4230" s="1">
        <v>15003</v>
      </c>
      <c r="C4230" t="s">
        <v>4060</v>
      </c>
      <c r="D4230" t="s">
        <v>4061</v>
      </c>
    </row>
    <row r="4231" spans="1:4" x14ac:dyDescent="0.25">
      <c r="A4231" s="2" t="s">
        <v>4091</v>
      </c>
      <c r="B4231" s="1">
        <v>15083</v>
      </c>
      <c r="C4231" t="s">
        <v>4060</v>
      </c>
      <c r="D4231" t="s">
        <v>4061</v>
      </c>
    </row>
    <row r="4232" spans="1:4" x14ac:dyDescent="0.25">
      <c r="A4232" s="2" t="s">
        <v>4092</v>
      </c>
      <c r="B4232" s="1">
        <v>15092</v>
      </c>
      <c r="C4232" t="s">
        <v>4093</v>
      </c>
      <c r="D4232" t="s">
        <v>4061</v>
      </c>
    </row>
    <row r="4233" spans="1:4" x14ac:dyDescent="0.25">
      <c r="A4233" s="2" t="s">
        <v>4094</v>
      </c>
      <c r="B4233" s="1">
        <v>15117</v>
      </c>
      <c r="C4233" t="s">
        <v>4093</v>
      </c>
      <c r="D4233" t="s">
        <v>4061</v>
      </c>
    </row>
    <row r="4234" spans="1:4" x14ac:dyDescent="0.25">
      <c r="A4234" s="2" t="s">
        <v>4095</v>
      </c>
      <c r="B4234" s="1">
        <v>15171</v>
      </c>
      <c r="C4234" t="s">
        <v>4093</v>
      </c>
      <c r="D4234" t="s">
        <v>4061</v>
      </c>
    </row>
    <row r="4235" spans="1:4" x14ac:dyDescent="0.25">
      <c r="A4235" s="2" t="s">
        <v>4096</v>
      </c>
      <c r="B4235" s="1">
        <v>15198</v>
      </c>
      <c r="C4235" t="s">
        <v>4093</v>
      </c>
      <c r="D4235" t="s">
        <v>4061</v>
      </c>
    </row>
    <row r="4236" spans="1:4" x14ac:dyDescent="0.25">
      <c r="A4236" s="2" t="s">
        <v>4097</v>
      </c>
      <c r="B4236" s="1">
        <v>15198</v>
      </c>
      <c r="C4236" t="s">
        <v>4093</v>
      </c>
      <c r="D4236" t="s">
        <v>4061</v>
      </c>
    </row>
    <row r="4237" spans="1:4" x14ac:dyDescent="0.25">
      <c r="A4237" s="2" t="s">
        <v>4098</v>
      </c>
      <c r="B4237" s="1">
        <v>15198</v>
      </c>
      <c r="C4237" t="s">
        <v>4093</v>
      </c>
      <c r="D4237" t="s">
        <v>4061</v>
      </c>
    </row>
    <row r="4238" spans="1:4" x14ac:dyDescent="0.25">
      <c r="A4238" s="2" t="s">
        <v>4099</v>
      </c>
      <c r="B4238" s="1">
        <v>15168</v>
      </c>
      <c r="C4238" t="s">
        <v>4093</v>
      </c>
      <c r="D4238" t="s">
        <v>4061</v>
      </c>
    </row>
    <row r="4239" spans="1:4" x14ac:dyDescent="0.25">
      <c r="A4239" s="2" t="s">
        <v>4100</v>
      </c>
      <c r="B4239" s="1">
        <v>15178</v>
      </c>
      <c r="C4239" t="s">
        <v>4093</v>
      </c>
      <c r="D4239" t="s">
        <v>4061</v>
      </c>
    </row>
    <row r="4240" spans="1:4" x14ac:dyDescent="0.25">
      <c r="A4240" s="2" t="s">
        <v>4101</v>
      </c>
      <c r="B4240" s="1">
        <v>15229</v>
      </c>
      <c r="C4240" t="s">
        <v>4093</v>
      </c>
      <c r="D4240" t="s">
        <v>4061</v>
      </c>
    </row>
    <row r="4241" spans="1:4" x14ac:dyDescent="0.25">
      <c r="A4241" s="2" t="s">
        <v>4102</v>
      </c>
      <c r="B4241" s="1">
        <v>15206</v>
      </c>
      <c r="C4241" t="s">
        <v>4093</v>
      </c>
      <c r="D4241" t="s">
        <v>4061</v>
      </c>
    </row>
    <row r="4242" spans="1:4" x14ac:dyDescent="0.25">
      <c r="A4242" s="2" t="s">
        <v>4103</v>
      </c>
      <c r="B4242" s="1">
        <v>15204</v>
      </c>
      <c r="C4242" t="s">
        <v>4093</v>
      </c>
      <c r="D4242" t="s">
        <v>4061</v>
      </c>
    </row>
    <row r="4243" spans="1:4" x14ac:dyDescent="0.25">
      <c r="A4243" s="2" t="s">
        <v>4104</v>
      </c>
      <c r="B4243" s="1">
        <v>15204</v>
      </c>
      <c r="C4243" t="s">
        <v>4093</v>
      </c>
      <c r="D4243" t="s">
        <v>4061</v>
      </c>
    </row>
    <row r="4244" spans="1:4" x14ac:dyDescent="0.25">
      <c r="A4244" s="2" t="s">
        <v>4105</v>
      </c>
      <c r="B4244" s="1">
        <v>15204</v>
      </c>
      <c r="C4244" t="s">
        <v>4093</v>
      </c>
      <c r="D4244" t="s">
        <v>4061</v>
      </c>
    </row>
    <row r="4245" spans="1:4" x14ac:dyDescent="0.25">
      <c r="A4245" s="2" t="s">
        <v>4106</v>
      </c>
      <c r="B4245" s="1">
        <v>15225</v>
      </c>
      <c r="C4245" t="s">
        <v>4093</v>
      </c>
      <c r="D4245" t="s">
        <v>4061</v>
      </c>
    </row>
    <row r="4246" spans="1:4" x14ac:dyDescent="0.25">
      <c r="A4246" s="2" t="s">
        <v>4107</v>
      </c>
      <c r="B4246" s="1">
        <v>15323</v>
      </c>
      <c r="C4246" t="s">
        <v>4093</v>
      </c>
      <c r="D4246" t="s">
        <v>4061</v>
      </c>
    </row>
    <row r="4247" spans="1:4" x14ac:dyDescent="0.25">
      <c r="A4247" s="2" t="s">
        <v>4108</v>
      </c>
      <c r="B4247" s="1">
        <v>15346</v>
      </c>
      <c r="C4247" t="s">
        <v>4093</v>
      </c>
      <c r="D4247" t="s">
        <v>4061</v>
      </c>
    </row>
    <row r="4248" spans="1:4" x14ac:dyDescent="0.25">
      <c r="A4248" s="2" t="s">
        <v>4109</v>
      </c>
      <c r="B4248" s="1">
        <v>15346</v>
      </c>
      <c r="C4248" t="s">
        <v>4093</v>
      </c>
      <c r="D4248" t="s">
        <v>4061</v>
      </c>
    </row>
    <row r="4249" spans="1:4" x14ac:dyDescent="0.25">
      <c r="A4249" s="2" t="s">
        <v>4110</v>
      </c>
      <c r="B4249" s="1">
        <v>15308</v>
      </c>
      <c r="C4249" t="s">
        <v>4093</v>
      </c>
      <c r="D4249" t="s">
        <v>4061</v>
      </c>
    </row>
    <row r="4250" spans="1:4" x14ac:dyDescent="0.25">
      <c r="A4250" s="2" t="s">
        <v>4111</v>
      </c>
      <c r="B4250" s="1">
        <v>15308</v>
      </c>
      <c r="C4250" t="s">
        <v>4093</v>
      </c>
      <c r="D4250" t="s">
        <v>4061</v>
      </c>
    </row>
    <row r="4251" spans="1:4" x14ac:dyDescent="0.25">
      <c r="A4251" s="2" t="s">
        <v>4112</v>
      </c>
      <c r="B4251" s="1">
        <v>15308</v>
      </c>
      <c r="C4251" t="s">
        <v>4093</v>
      </c>
      <c r="D4251" t="s">
        <v>4061</v>
      </c>
    </row>
    <row r="4252" spans="1:4" x14ac:dyDescent="0.25">
      <c r="A4252" s="2" t="s">
        <v>4113</v>
      </c>
      <c r="B4252" s="1">
        <v>15308</v>
      </c>
      <c r="C4252" t="s">
        <v>4093</v>
      </c>
      <c r="D4252" t="s">
        <v>4061</v>
      </c>
    </row>
    <row r="4253" spans="1:4" x14ac:dyDescent="0.25">
      <c r="A4253" s="2" t="s">
        <v>4114</v>
      </c>
      <c r="B4253" s="1">
        <v>15329</v>
      </c>
      <c r="C4253" t="s">
        <v>4093</v>
      </c>
      <c r="D4253" t="s">
        <v>4061</v>
      </c>
    </row>
    <row r="4254" spans="1:4" x14ac:dyDescent="0.25">
      <c r="A4254" s="2" t="s">
        <v>4115</v>
      </c>
      <c r="B4254" s="1">
        <v>15326</v>
      </c>
      <c r="C4254" t="s">
        <v>4093</v>
      </c>
      <c r="D4254" t="s">
        <v>4061</v>
      </c>
    </row>
    <row r="4255" spans="1:4" x14ac:dyDescent="0.25">
      <c r="A4255" s="2" t="s">
        <v>4116</v>
      </c>
      <c r="B4255" s="1">
        <v>15319</v>
      </c>
      <c r="C4255" t="s">
        <v>4093</v>
      </c>
      <c r="D4255" t="s">
        <v>4061</v>
      </c>
    </row>
    <row r="4256" spans="1:4" x14ac:dyDescent="0.25">
      <c r="A4256" s="2" t="s">
        <v>4117</v>
      </c>
      <c r="B4256" s="1">
        <v>15253</v>
      </c>
      <c r="C4256" t="s">
        <v>4093</v>
      </c>
      <c r="D4256" t="s">
        <v>4061</v>
      </c>
    </row>
    <row r="4257" spans="1:4" x14ac:dyDescent="0.25">
      <c r="A4257" s="2" t="s">
        <v>4118</v>
      </c>
      <c r="B4257" s="1">
        <v>15253</v>
      </c>
      <c r="C4257" t="s">
        <v>4093</v>
      </c>
      <c r="D4257" t="s">
        <v>4061</v>
      </c>
    </row>
    <row r="4258" spans="1:4" x14ac:dyDescent="0.25">
      <c r="A4258" s="2" t="s">
        <v>4119</v>
      </c>
      <c r="B4258" s="1">
        <v>15253</v>
      </c>
      <c r="C4258" t="s">
        <v>4093</v>
      </c>
      <c r="D4258" t="s">
        <v>4061</v>
      </c>
    </row>
    <row r="4259" spans="1:4" x14ac:dyDescent="0.25">
      <c r="A4259" s="2" t="s">
        <v>4120</v>
      </c>
      <c r="B4259" s="1">
        <v>15297</v>
      </c>
      <c r="C4259" t="s">
        <v>4093</v>
      </c>
      <c r="D4259" t="s">
        <v>4061</v>
      </c>
    </row>
    <row r="4260" spans="1:4" x14ac:dyDescent="0.25">
      <c r="A4260" s="2" t="s">
        <v>4121</v>
      </c>
      <c r="B4260" s="1">
        <v>15294</v>
      </c>
      <c r="C4260" t="s">
        <v>4093</v>
      </c>
      <c r="D4260" t="s">
        <v>4061</v>
      </c>
    </row>
    <row r="4261" spans="1:4" x14ac:dyDescent="0.25">
      <c r="A4261" s="2" t="s">
        <v>4122</v>
      </c>
      <c r="B4261" s="1">
        <v>15263</v>
      </c>
      <c r="C4261" t="s">
        <v>4093</v>
      </c>
      <c r="D4261" t="s">
        <v>4061</v>
      </c>
    </row>
    <row r="4262" spans="1:4" x14ac:dyDescent="0.25">
      <c r="A4262" s="2" t="s">
        <v>4123</v>
      </c>
      <c r="B4262" s="1">
        <v>15239</v>
      </c>
      <c r="C4262" t="s">
        <v>4093</v>
      </c>
      <c r="D4262" t="s">
        <v>4061</v>
      </c>
    </row>
    <row r="4263" spans="1:4" x14ac:dyDescent="0.25">
      <c r="A4263" s="2" t="s">
        <v>4124</v>
      </c>
      <c r="B4263" s="1">
        <v>15237</v>
      </c>
      <c r="C4263" t="s">
        <v>4125</v>
      </c>
      <c r="D4263" t="s">
        <v>4061</v>
      </c>
    </row>
    <row r="4264" spans="1:4" x14ac:dyDescent="0.25">
      <c r="A4264" s="2" t="s">
        <v>4126</v>
      </c>
      <c r="B4264" s="1">
        <v>15237</v>
      </c>
      <c r="C4264" t="s">
        <v>4125</v>
      </c>
      <c r="D4264" t="s">
        <v>4061</v>
      </c>
    </row>
    <row r="4265" spans="1:4" x14ac:dyDescent="0.25">
      <c r="A4265" s="2" t="s">
        <v>4127</v>
      </c>
      <c r="B4265" s="1">
        <v>15237</v>
      </c>
      <c r="C4265" t="s">
        <v>4125</v>
      </c>
      <c r="D4265" t="s">
        <v>4061</v>
      </c>
    </row>
    <row r="4266" spans="1:4" x14ac:dyDescent="0.25">
      <c r="A4266" s="2" t="s">
        <v>4128</v>
      </c>
      <c r="B4266" s="1">
        <v>15252</v>
      </c>
      <c r="C4266" t="s">
        <v>4125</v>
      </c>
      <c r="D4266" t="s">
        <v>4061</v>
      </c>
    </row>
    <row r="4267" spans="1:4" x14ac:dyDescent="0.25">
      <c r="A4267" s="2" t="s">
        <v>4129</v>
      </c>
      <c r="B4267" s="1">
        <v>15247</v>
      </c>
      <c r="C4267" t="s">
        <v>4125</v>
      </c>
      <c r="D4267" t="s">
        <v>4061</v>
      </c>
    </row>
    <row r="4268" spans="1:4" x14ac:dyDescent="0.25">
      <c r="A4268" s="2" t="s">
        <v>4130</v>
      </c>
      <c r="B4268" s="1">
        <v>15260</v>
      </c>
      <c r="C4268" t="s">
        <v>4125</v>
      </c>
      <c r="D4268" t="s">
        <v>4061</v>
      </c>
    </row>
    <row r="4269" spans="1:4" x14ac:dyDescent="0.25">
      <c r="A4269" s="2" t="s">
        <v>4131</v>
      </c>
      <c r="B4269" s="1">
        <v>15307</v>
      </c>
      <c r="C4269" t="s">
        <v>4125</v>
      </c>
      <c r="D4269" t="s">
        <v>4061</v>
      </c>
    </row>
    <row r="4270" spans="1:4" x14ac:dyDescent="0.25">
      <c r="A4270" s="2" t="s">
        <v>4132</v>
      </c>
      <c r="B4270" s="1">
        <v>15334</v>
      </c>
      <c r="C4270" t="s">
        <v>4125</v>
      </c>
      <c r="D4270" t="s">
        <v>4061</v>
      </c>
    </row>
    <row r="4271" spans="1:4" x14ac:dyDescent="0.25">
      <c r="A4271" s="2" t="s">
        <v>4133</v>
      </c>
      <c r="B4271" s="1">
        <v>15334</v>
      </c>
      <c r="C4271" t="s">
        <v>4125</v>
      </c>
      <c r="D4271" t="s">
        <v>4061</v>
      </c>
    </row>
    <row r="4272" spans="1:4" x14ac:dyDescent="0.25">
      <c r="A4272" s="2" t="s">
        <v>4134</v>
      </c>
      <c r="B4272" s="1">
        <v>15334</v>
      </c>
      <c r="C4272" t="s">
        <v>4125</v>
      </c>
      <c r="D4272" t="s">
        <v>4061</v>
      </c>
    </row>
    <row r="4273" spans="1:4" x14ac:dyDescent="0.25">
      <c r="A4273" s="2" t="s">
        <v>4135</v>
      </c>
      <c r="B4273" s="1">
        <v>15341</v>
      </c>
      <c r="C4273" t="s">
        <v>4125</v>
      </c>
      <c r="D4273" t="s">
        <v>4061</v>
      </c>
    </row>
    <row r="4274" spans="1:4" x14ac:dyDescent="0.25">
      <c r="A4274" s="2" t="s">
        <v>4136</v>
      </c>
      <c r="B4274" s="1">
        <v>15352</v>
      </c>
      <c r="C4274" t="s">
        <v>4125</v>
      </c>
      <c r="D4274" t="s">
        <v>4061</v>
      </c>
    </row>
    <row r="4275" spans="1:4" x14ac:dyDescent="0.25">
      <c r="A4275" s="2" t="s">
        <v>4137</v>
      </c>
      <c r="B4275" s="1">
        <v>15344</v>
      </c>
      <c r="C4275" t="s">
        <v>4125</v>
      </c>
      <c r="D4275" t="s">
        <v>4061</v>
      </c>
    </row>
    <row r="4276" spans="1:4" x14ac:dyDescent="0.25">
      <c r="A4276" s="2" t="s">
        <v>4138</v>
      </c>
      <c r="B4276" s="1">
        <v>15367</v>
      </c>
      <c r="C4276" t="s">
        <v>4125</v>
      </c>
      <c r="D4276" t="s">
        <v>4061</v>
      </c>
    </row>
    <row r="4277" spans="1:4" x14ac:dyDescent="0.25">
      <c r="A4277" s="2" t="s">
        <v>4139</v>
      </c>
      <c r="B4277" s="1">
        <v>15357</v>
      </c>
      <c r="C4277" t="s">
        <v>4125</v>
      </c>
      <c r="D4277" t="s">
        <v>4061</v>
      </c>
    </row>
    <row r="4278" spans="1:4" x14ac:dyDescent="0.25">
      <c r="A4278" s="2" t="s">
        <v>4140</v>
      </c>
      <c r="B4278" s="1">
        <v>15357</v>
      </c>
      <c r="C4278" t="s">
        <v>4125</v>
      </c>
      <c r="D4278" t="s">
        <v>4061</v>
      </c>
    </row>
    <row r="4279" spans="1:4" x14ac:dyDescent="0.25">
      <c r="A4279" s="2" t="s">
        <v>4141</v>
      </c>
      <c r="B4279" s="1">
        <v>15357</v>
      </c>
      <c r="C4279" t="s">
        <v>4125</v>
      </c>
      <c r="D4279" t="s">
        <v>4061</v>
      </c>
    </row>
    <row r="4280" spans="1:4" x14ac:dyDescent="0.25">
      <c r="A4280" s="2" t="s">
        <v>4142</v>
      </c>
      <c r="B4280" s="1">
        <v>15367</v>
      </c>
      <c r="C4280" t="s">
        <v>4125</v>
      </c>
      <c r="D4280" t="s">
        <v>4061</v>
      </c>
    </row>
    <row r="4281" spans="1:4" x14ac:dyDescent="0.25">
      <c r="A4281" s="2" t="s">
        <v>4143</v>
      </c>
      <c r="B4281" s="1">
        <v>15373</v>
      </c>
      <c r="C4281" t="s">
        <v>4125</v>
      </c>
      <c r="D4281" t="s">
        <v>4061</v>
      </c>
    </row>
    <row r="4282" spans="1:4" x14ac:dyDescent="0.25">
      <c r="A4282" s="2" t="s">
        <v>4144</v>
      </c>
      <c r="B4282" s="1">
        <v>15381</v>
      </c>
      <c r="C4282" t="s">
        <v>4125</v>
      </c>
      <c r="D4282" t="s">
        <v>4061</v>
      </c>
    </row>
    <row r="4283" spans="1:4" x14ac:dyDescent="0.25">
      <c r="A4283" s="2" t="s">
        <v>4145</v>
      </c>
      <c r="B4283" s="1">
        <v>15396</v>
      </c>
      <c r="C4283" t="s">
        <v>4125</v>
      </c>
      <c r="D4283" t="s">
        <v>4061</v>
      </c>
    </row>
    <row r="4284" spans="1:4" x14ac:dyDescent="0.25">
      <c r="A4284" s="2" t="s">
        <v>4146</v>
      </c>
      <c r="B4284" s="1">
        <v>15397</v>
      </c>
      <c r="C4284" t="s">
        <v>4125</v>
      </c>
      <c r="D4284" t="s">
        <v>4061</v>
      </c>
    </row>
    <row r="4285" spans="1:4" x14ac:dyDescent="0.25">
      <c r="A4285" s="2" t="s">
        <v>4147</v>
      </c>
      <c r="B4285" s="1">
        <v>15397</v>
      </c>
      <c r="C4285" t="s">
        <v>4125</v>
      </c>
      <c r="D4285" t="s">
        <v>4061</v>
      </c>
    </row>
    <row r="4286" spans="1:4" x14ac:dyDescent="0.25">
      <c r="A4286" s="2" t="s">
        <v>4148</v>
      </c>
      <c r="B4286" s="1">
        <v>15397</v>
      </c>
      <c r="C4286" t="s">
        <v>4125</v>
      </c>
      <c r="D4286" t="s">
        <v>4061</v>
      </c>
    </row>
    <row r="4287" spans="1:4" x14ac:dyDescent="0.25">
      <c r="A4287" s="2" t="s">
        <v>4149</v>
      </c>
      <c r="B4287" s="1">
        <v>15383</v>
      </c>
      <c r="C4287" t="s">
        <v>4125</v>
      </c>
      <c r="D4287" t="s">
        <v>4061</v>
      </c>
    </row>
    <row r="4288" spans="1:4" x14ac:dyDescent="0.25">
      <c r="A4288" s="2" t="s">
        <v>4150</v>
      </c>
      <c r="B4288" s="1">
        <v>15399</v>
      </c>
      <c r="C4288" t="s">
        <v>4125</v>
      </c>
      <c r="D4288" t="s">
        <v>4061</v>
      </c>
    </row>
    <row r="4289" spans="1:4" x14ac:dyDescent="0.25">
      <c r="A4289" s="2" t="s">
        <v>4151</v>
      </c>
      <c r="B4289" s="1">
        <v>15464</v>
      </c>
      <c r="C4289" t="s">
        <v>4125</v>
      </c>
      <c r="D4289" t="s">
        <v>4061</v>
      </c>
    </row>
    <row r="4290" spans="1:4" x14ac:dyDescent="0.25">
      <c r="A4290" s="2" t="s">
        <v>4152</v>
      </c>
      <c r="B4290" s="1">
        <v>15464</v>
      </c>
      <c r="C4290" t="s">
        <v>4125</v>
      </c>
      <c r="D4290" t="s">
        <v>4061</v>
      </c>
    </row>
    <row r="4291" spans="1:4" x14ac:dyDescent="0.25">
      <c r="A4291" s="2" t="s">
        <v>4153</v>
      </c>
      <c r="B4291" s="1">
        <v>15526</v>
      </c>
      <c r="C4291" t="s">
        <v>4125</v>
      </c>
      <c r="D4291" t="s">
        <v>4061</v>
      </c>
    </row>
    <row r="4292" spans="1:4" x14ac:dyDescent="0.25">
      <c r="A4292" s="2" t="s">
        <v>4154</v>
      </c>
      <c r="B4292" s="1">
        <v>15526</v>
      </c>
      <c r="C4292" t="s">
        <v>4125</v>
      </c>
      <c r="D4292" t="s">
        <v>4061</v>
      </c>
    </row>
    <row r="4293" spans="1:4" x14ac:dyDescent="0.25">
      <c r="A4293" s="2" t="s">
        <v>4155</v>
      </c>
      <c r="B4293" s="1">
        <v>15526</v>
      </c>
      <c r="C4293" t="s">
        <v>4156</v>
      </c>
      <c r="D4293" t="s">
        <v>4157</v>
      </c>
    </row>
    <row r="4294" spans="1:4" x14ac:dyDescent="0.25">
      <c r="A4294" s="2" t="s">
        <v>4158</v>
      </c>
      <c r="B4294" s="1">
        <v>15487</v>
      </c>
      <c r="C4294" t="s">
        <v>4156</v>
      </c>
      <c r="D4294" t="s">
        <v>4157</v>
      </c>
    </row>
    <row r="4295" spans="1:4" x14ac:dyDescent="0.25">
      <c r="A4295" s="2" t="s">
        <v>4159</v>
      </c>
      <c r="B4295" s="1">
        <v>15519</v>
      </c>
      <c r="C4295" t="s">
        <v>4156</v>
      </c>
      <c r="D4295" t="s">
        <v>4157</v>
      </c>
    </row>
    <row r="4296" spans="1:4" x14ac:dyDescent="0.25">
      <c r="A4296" s="2" t="s">
        <v>4160</v>
      </c>
      <c r="B4296" s="1">
        <v>15600</v>
      </c>
      <c r="C4296" t="s">
        <v>4156</v>
      </c>
      <c r="D4296" t="s">
        <v>4157</v>
      </c>
    </row>
    <row r="4297" spans="1:4" x14ac:dyDescent="0.25">
      <c r="A4297" s="2" t="s">
        <v>4161</v>
      </c>
      <c r="B4297" s="1">
        <v>15636</v>
      </c>
      <c r="C4297" t="s">
        <v>4156</v>
      </c>
      <c r="D4297" t="s">
        <v>4157</v>
      </c>
    </row>
    <row r="4298" spans="1:4" x14ac:dyDescent="0.25">
      <c r="A4298" s="2" t="s">
        <v>4162</v>
      </c>
      <c r="B4298" s="1">
        <v>15601</v>
      </c>
      <c r="C4298" t="s">
        <v>4156</v>
      </c>
      <c r="D4298" t="s">
        <v>4157</v>
      </c>
    </row>
    <row r="4299" spans="1:4" x14ac:dyDescent="0.25">
      <c r="A4299" s="2" t="s">
        <v>4163</v>
      </c>
      <c r="B4299" s="1">
        <v>15601</v>
      </c>
      <c r="C4299" t="s">
        <v>4156</v>
      </c>
      <c r="D4299" t="s">
        <v>4157</v>
      </c>
    </row>
    <row r="4300" spans="1:4" x14ac:dyDescent="0.25">
      <c r="A4300" s="2" t="s">
        <v>4164</v>
      </c>
      <c r="B4300" s="1">
        <v>15601</v>
      </c>
      <c r="C4300" t="s">
        <v>4156</v>
      </c>
      <c r="D4300" t="s">
        <v>4157</v>
      </c>
    </row>
    <row r="4301" spans="1:4" x14ac:dyDescent="0.25">
      <c r="A4301" s="2" t="s">
        <v>4165</v>
      </c>
      <c r="B4301" s="1">
        <v>15628</v>
      </c>
      <c r="C4301" t="s">
        <v>4156</v>
      </c>
      <c r="D4301" t="s">
        <v>4157</v>
      </c>
    </row>
    <row r="4302" spans="1:4" x14ac:dyDescent="0.25">
      <c r="A4302" s="2" t="s">
        <v>4166</v>
      </c>
      <c r="B4302" s="1">
        <v>15675</v>
      </c>
      <c r="C4302" t="s">
        <v>4156</v>
      </c>
      <c r="D4302" t="s">
        <v>4157</v>
      </c>
    </row>
    <row r="4303" spans="1:4" x14ac:dyDescent="0.25">
      <c r="A4303" s="2" t="s">
        <v>4167</v>
      </c>
      <c r="B4303" s="1">
        <v>15708</v>
      </c>
      <c r="C4303" t="s">
        <v>4156</v>
      </c>
      <c r="D4303" t="s">
        <v>4157</v>
      </c>
    </row>
    <row r="4304" spans="1:4" x14ac:dyDescent="0.25">
      <c r="A4304" s="2" t="s">
        <v>4168</v>
      </c>
      <c r="B4304" s="1">
        <v>15710</v>
      </c>
      <c r="C4304" t="s">
        <v>4156</v>
      </c>
      <c r="D4304" t="s">
        <v>4157</v>
      </c>
    </row>
    <row r="4305" spans="1:4" x14ac:dyDescent="0.25">
      <c r="A4305" s="2" t="s">
        <v>4169</v>
      </c>
      <c r="B4305" s="1">
        <v>15702</v>
      </c>
      <c r="C4305" t="s">
        <v>4156</v>
      </c>
      <c r="D4305" t="s">
        <v>4157</v>
      </c>
    </row>
    <row r="4306" spans="1:4" x14ac:dyDescent="0.25">
      <c r="A4306" s="2" t="s">
        <v>4170</v>
      </c>
      <c r="B4306" s="1">
        <v>15702</v>
      </c>
      <c r="C4306" t="s">
        <v>4156</v>
      </c>
      <c r="D4306" t="s">
        <v>4157</v>
      </c>
    </row>
    <row r="4307" spans="1:4" x14ac:dyDescent="0.25">
      <c r="A4307" s="2" t="s">
        <v>4171</v>
      </c>
      <c r="B4307" s="1">
        <v>15702</v>
      </c>
      <c r="C4307" t="s">
        <v>4156</v>
      </c>
      <c r="D4307" t="s">
        <v>4157</v>
      </c>
    </row>
    <row r="4308" spans="1:4" x14ac:dyDescent="0.25">
      <c r="A4308" s="2" t="s">
        <v>4172</v>
      </c>
      <c r="B4308" s="1">
        <v>15709</v>
      </c>
      <c r="C4308" t="s">
        <v>4156</v>
      </c>
      <c r="D4308" t="s">
        <v>4157</v>
      </c>
    </row>
    <row r="4309" spans="1:4" x14ac:dyDescent="0.25">
      <c r="A4309" s="2" t="s">
        <v>4173</v>
      </c>
      <c r="B4309" s="1">
        <v>15716</v>
      </c>
      <c r="C4309" t="s">
        <v>4156</v>
      </c>
      <c r="D4309" t="s">
        <v>4157</v>
      </c>
    </row>
    <row r="4310" spans="1:4" x14ac:dyDescent="0.25">
      <c r="A4310" s="2" t="s">
        <v>4174</v>
      </c>
      <c r="B4310" s="1">
        <v>15718</v>
      </c>
      <c r="C4310" t="s">
        <v>4156</v>
      </c>
      <c r="D4310" t="s">
        <v>4157</v>
      </c>
    </row>
    <row r="4311" spans="1:4" x14ac:dyDescent="0.25">
      <c r="A4311" s="2" t="s">
        <v>4175</v>
      </c>
      <c r="B4311" s="1">
        <v>15731</v>
      </c>
      <c r="C4311" t="s">
        <v>4156</v>
      </c>
      <c r="D4311" t="s">
        <v>4157</v>
      </c>
    </row>
    <row r="4312" spans="1:4" x14ac:dyDescent="0.25">
      <c r="A4312" s="2" t="s">
        <v>4176</v>
      </c>
      <c r="B4312" s="1">
        <v>15838</v>
      </c>
      <c r="C4312" t="s">
        <v>4156</v>
      </c>
      <c r="D4312" t="s">
        <v>4157</v>
      </c>
    </row>
    <row r="4313" spans="1:4" x14ac:dyDescent="0.25">
      <c r="A4313" s="2" t="s">
        <v>4177</v>
      </c>
      <c r="B4313" s="1">
        <v>15838</v>
      </c>
      <c r="C4313" t="s">
        <v>4156</v>
      </c>
      <c r="D4313" t="s">
        <v>4157</v>
      </c>
    </row>
    <row r="4314" spans="1:4" x14ac:dyDescent="0.25">
      <c r="A4314" s="2" t="s">
        <v>4178</v>
      </c>
      <c r="B4314" s="1">
        <v>15838</v>
      </c>
      <c r="C4314" t="s">
        <v>4156</v>
      </c>
      <c r="D4314" t="s">
        <v>4157</v>
      </c>
    </row>
    <row r="4315" spans="1:4" x14ac:dyDescent="0.25">
      <c r="A4315" s="2" t="s">
        <v>4179</v>
      </c>
      <c r="B4315" s="1">
        <v>15856</v>
      </c>
      <c r="C4315" t="s">
        <v>4156</v>
      </c>
      <c r="D4315" t="s">
        <v>4157</v>
      </c>
    </row>
    <row r="4316" spans="1:4" x14ac:dyDescent="0.25">
      <c r="A4316" s="2" t="s">
        <v>4180</v>
      </c>
      <c r="B4316" s="1">
        <v>15943</v>
      </c>
      <c r="C4316" t="s">
        <v>4156</v>
      </c>
      <c r="D4316" t="s">
        <v>4157</v>
      </c>
    </row>
    <row r="4317" spans="1:4" x14ac:dyDescent="0.25">
      <c r="A4317" s="2" t="s">
        <v>4181</v>
      </c>
      <c r="B4317" s="1">
        <v>15869</v>
      </c>
      <c r="C4317" t="s">
        <v>4156</v>
      </c>
      <c r="D4317" t="s">
        <v>4157</v>
      </c>
    </row>
    <row r="4318" spans="1:4" x14ac:dyDescent="0.25">
      <c r="A4318" s="2" t="s">
        <v>4182</v>
      </c>
      <c r="B4318" s="1">
        <v>15871</v>
      </c>
      <c r="C4318" t="s">
        <v>4156</v>
      </c>
      <c r="D4318" t="s">
        <v>4157</v>
      </c>
    </row>
    <row r="4319" spans="1:4" x14ac:dyDescent="0.25">
      <c r="A4319" s="2" t="s">
        <v>4183</v>
      </c>
      <c r="B4319" s="1">
        <v>15933</v>
      </c>
      <c r="C4319" t="s">
        <v>4156</v>
      </c>
      <c r="D4319" t="s">
        <v>4157</v>
      </c>
    </row>
    <row r="4320" spans="1:4" x14ac:dyDescent="0.25">
      <c r="A4320" s="2" t="s">
        <v>4184</v>
      </c>
      <c r="B4320" s="1">
        <v>15933</v>
      </c>
      <c r="C4320" t="s">
        <v>4156</v>
      </c>
      <c r="D4320" t="s">
        <v>4157</v>
      </c>
    </row>
    <row r="4321" spans="1:4" x14ac:dyDescent="0.25">
      <c r="A4321" s="2" t="s">
        <v>4185</v>
      </c>
      <c r="B4321" s="1">
        <v>15933</v>
      </c>
      <c r="C4321" t="s">
        <v>4156</v>
      </c>
      <c r="D4321" t="s">
        <v>4157</v>
      </c>
    </row>
    <row r="4322" spans="1:4" x14ac:dyDescent="0.25">
      <c r="A4322" s="2" t="s">
        <v>4186</v>
      </c>
      <c r="B4322" s="1">
        <v>15941</v>
      </c>
      <c r="C4322" t="s">
        <v>4156</v>
      </c>
      <c r="D4322" t="s">
        <v>4157</v>
      </c>
    </row>
    <row r="4323" spans="1:4" x14ac:dyDescent="0.25">
      <c r="A4323" s="2" t="s">
        <v>4187</v>
      </c>
      <c r="B4323" s="1">
        <v>15916</v>
      </c>
      <c r="C4323" t="s">
        <v>4156</v>
      </c>
      <c r="D4323" t="s">
        <v>4157</v>
      </c>
    </row>
    <row r="4324" spans="1:4" x14ac:dyDescent="0.25">
      <c r="A4324" s="2" t="s">
        <v>4188</v>
      </c>
      <c r="B4324" s="1">
        <v>15897</v>
      </c>
      <c r="C4324" t="s">
        <v>4189</v>
      </c>
      <c r="D4324" t="s">
        <v>4157</v>
      </c>
    </row>
    <row r="4325" spans="1:4" x14ac:dyDescent="0.25">
      <c r="A4325" s="2" t="s">
        <v>4190</v>
      </c>
      <c r="B4325" s="1">
        <v>15946</v>
      </c>
      <c r="C4325" t="s">
        <v>4189</v>
      </c>
      <c r="D4325" t="s">
        <v>4157</v>
      </c>
    </row>
    <row r="4326" spans="1:4" x14ac:dyDescent="0.25">
      <c r="A4326" s="2" t="s">
        <v>4191</v>
      </c>
      <c r="B4326" s="1">
        <v>15861</v>
      </c>
      <c r="C4326" t="s">
        <v>4189</v>
      </c>
      <c r="D4326" t="s">
        <v>4157</v>
      </c>
    </row>
    <row r="4327" spans="1:4" x14ac:dyDescent="0.25">
      <c r="A4327" s="2" t="s">
        <v>4192</v>
      </c>
      <c r="B4327" s="1">
        <v>15861</v>
      </c>
      <c r="C4327" t="s">
        <v>4189</v>
      </c>
      <c r="D4327" t="s">
        <v>4157</v>
      </c>
    </row>
    <row r="4328" spans="1:4" x14ac:dyDescent="0.25">
      <c r="A4328" s="2" t="s">
        <v>4193</v>
      </c>
      <c r="B4328" s="1">
        <v>15861</v>
      </c>
      <c r="C4328" t="s">
        <v>4189</v>
      </c>
      <c r="D4328" t="s">
        <v>4157</v>
      </c>
    </row>
    <row r="4329" spans="1:4" x14ac:dyDescent="0.25">
      <c r="A4329" s="2" t="s">
        <v>4194</v>
      </c>
      <c r="B4329" s="1">
        <v>15771</v>
      </c>
      <c r="C4329" t="s">
        <v>4189</v>
      </c>
      <c r="D4329" t="s">
        <v>4157</v>
      </c>
    </row>
    <row r="4330" spans="1:4" x14ac:dyDescent="0.25">
      <c r="A4330" s="2" t="s">
        <v>4195</v>
      </c>
      <c r="B4330" s="1">
        <v>15550</v>
      </c>
      <c r="C4330" t="s">
        <v>4189</v>
      </c>
      <c r="D4330" t="s">
        <v>4157</v>
      </c>
    </row>
    <row r="4331" spans="1:4" x14ac:dyDescent="0.25">
      <c r="A4331" s="2" t="s">
        <v>4196</v>
      </c>
      <c r="B4331" s="1">
        <v>15593</v>
      </c>
      <c r="C4331" t="s">
        <v>4189</v>
      </c>
      <c r="D4331" t="s">
        <v>4157</v>
      </c>
    </row>
    <row r="4332" spans="1:4" x14ac:dyDescent="0.25">
      <c r="A4332" s="2" t="s">
        <v>4197</v>
      </c>
      <c r="B4332" s="1">
        <v>15629</v>
      </c>
      <c r="C4332" t="s">
        <v>4189</v>
      </c>
      <c r="D4332" t="s">
        <v>4157</v>
      </c>
    </row>
    <row r="4333" spans="1:4" x14ac:dyDescent="0.25">
      <c r="A4333" s="2" t="s">
        <v>4198</v>
      </c>
      <c r="B4333" s="1">
        <v>15649</v>
      </c>
      <c r="C4333" t="s">
        <v>4189</v>
      </c>
      <c r="D4333" t="s">
        <v>4157</v>
      </c>
    </row>
    <row r="4334" spans="1:4" x14ac:dyDescent="0.25">
      <c r="A4334" s="2" t="s">
        <v>4199</v>
      </c>
      <c r="B4334" s="1">
        <v>15649</v>
      </c>
      <c r="C4334" t="s">
        <v>4189</v>
      </c>
      <c r="D4334" t="s">
        <v>4157</v>
      </c>
    </row>
    <row r="4335" spans="1:4" x14ac:dyDescent="0.25">
      <c r="A4335" s="2" t="s">
        <v>4200</v>
      </c>
      <c r="B4335" s="1">
        <v>15649</v>
      </c>
      <c r="C4335" t="s">
        <v>4189</v>
      </c>
      <c r="D4335" t="s">
        <v>4157</v>
      </c>
    </row>
    <row r="4336" spans="1:4" x14ac:dyDescent="0.25">
      <c r="A4336" s="2" t="s">
        <v>4201</v>
      </c>
      <c r="B4336" s="1">
        <v>15693</v>
      </c>
      <c r="C4336" t="s">
        <v>4189</v>
      </c>
      <c r="D4336" t="s">
        <v>4157</v>
      </c>
    </row>
    <row r="4337" spans="1:4" x14ac:dyDescent="0.25">
      <c r="A4337" s="2" t="s">
        <v>4202</v>
      </c>
      <c r="B4337" s="1">
        <v>15713</v>
      </c>
      <c r="C4337" t="s">
        <v>4189</v>
      </c>
      <c r="D4337" t="s">
        <v>4157</v>
      </c>
    </row>
    <row r="4338" spans="1:4" x14ac:dyDescent="0.25">
      <c r="A4338" s="2" t="s">
        <v>4203</v>
      </c>
      <c r="B4338" s="1">
        <v>15699</v>
      </c>
      <c r="C4338" t="s">
        <v>4189</v>
      </c>
      <c r="D4338" t="s">
        <v>4157</v>
      </c>
    </row>
    <row r="4339" spans="1:4" x14ac:dyDescent="0.25">
      <c r="A4339" s="2" t="s">
        <v>4204</v>
      </c>
      <c r="B4339" s="1">
        <v>15503</v>
      </c>
      <c r="C4339" t="s">
        <v>4189</v>
      </c>
      <c r="D4339" t="s">
        <v>4157</v>
      </c>
    </row>
    <row r="4340" spans="1:4" x14ac:dyDescent="0.25">
      <c r="A4340" s="2" t="s">
        <v>4205</v>
      </c>
      <c r="B4340" s="1">
        <v>15595</v>
      </c>
      <c r="C4340" t="s">
        <v>4189</v>
      </c>
      <c r="D4340" t="s">
        <v>4157</v>
      </c>
    </row>
    <row r="4341" spans="1:4" x14ac:dyDescent="0.25">
      <c r="A4341" s="2" t="s">
        <v>4206</v>
      </c>
      <c r="B4341" s="1">
        <v>15595</v>
      </c>
      <c r="C4341" t="s">
        <v>4189</v>
      </c>
      <c r="D4341" t="s">
        <v>4157</v>
      </c>
    </row>
    <row r="4342" spans="1:4" x14ac:dyDescent="0.25">
      <c r="A4342" s="2" t="s">
        <v>4207</v>
      </c>
      <c r="B4342" s="1">
        <v>15595</v>
      </c>
      <c r="C4342" t="s">
        <v>4189</v>
      </c>
      <c r="D4342" t="s">
        <v>4157</v>
      </c>
    </row>
    <row r="4343" spans="1:4" x14ac:dyDescent="0.25">
      <c r="A4343" s="2" t="s">
        <v>4208</v>
      </c>
      <c r="B4343" s="1">
        <v>15504</v>
      </c>
      <c r="C4343" t="s">
        <v>4189</v>
      </c>
      <c r="D4343" t="s">
        <v>4157</v>
      </c>
    </row>
    <row r="4344" spans="1:4" x14ac:dyDescent="0.25">
      <c r="A4344" s="2" t="s">
        <v>4209</v>
      </c>
      <c r="B4344" s="1">
        <v>15419</v>
      </c>
      <c r="C4344" t="s">
        <v>4189</v>
      </c>
      <c r="D4344" t="s">
        <v>4157</v>
      </c>
    </row>
    <row r="4345" spans="1:4" x14ac:dyDescent="0.25">
      <c r="A4345" s="2" t="s">
        <v>4210</v>
      </c>
      <c r="B4345" s="1">
        <v>15436</v>
      </c>
      <c r="C4345" t="s">
        <v>4189</v>
      </c>
      <c r="D4345" t="s">
        <v>4157</v>
      </c>
    </row>
    <row r="4346" spans="1:4" x14ac:dyDescent="0.25">
      <c r="A4346" s="2" t="s">
        <v>4211</v>
      </c>
      <c r="B4346" s="1">
        <v>15584</v>
      </c>
      <c r="C4346" t="s">
        <v>4189</v>
      </c>
      <c r="D4346" t="s">
        <v>4157</v>
      </c>
    </row>
    <row r="4347" spans="1:4" x14ac:dyDescent="0.25">
      <c r="A4347" s="2" t="s">
        <v>4212</v>
      </c>
      <c r="B4347" s="1">
        <v>15593</v>
      </c>
      <c r="C4347" t="s">
        <v>4189</v>
      </c>
      <c r="D4347" t="s">
        <v>4157</v>
      </c>
    </row>
    <row r="4348" spans="1:4" x14ac:dyDescent="0.25">
      <c r="A4348" s="2" t="s">
        <v>4213</v>
      </c>
      <c r="B4348" s="1">
        <v>15593</v>
      </c>
      <c r="C4348" t="s">
        <v>4189</v>
      </c>
      <c r="D4348" t="s">
        <v>4157</v>
      </c>
    </row>
    <row r="4349" spans="1:4" x14ac:dyDescent="0.25">
      <c r="A4349" s="2" t="s">
        <v>4214</v>
      </c>
      <c r="B4349" s="1">
        <v>15593</v>
      </c>
      <c r="C4349" t="s">
        <v>4189</v>
      </c>
      <c r="D4349" t="s">
        <v>4157</v>
      </c>
    </row>
    <row r="4350" spans="1:4" x14ac:dyDescent="0.25">
      <c r="A4350" s="2" t="s">
        <v>4215</v>
      </c>
      <c r="B4350" s="1">
        <v>15587</v>
      </c>
      <c r="C4350" t="s">
        <v>4189</v>
      </c>
      <c r="D4350" t="s">
        <v>4157</v>
      </c>
    </row>
    <row r="4351" spans="1:4" x14ac:dyDescent="0.25">
      <c r="A4351" s="2" t="s">
        <v>4216</v>
      </c>
      <c r="B4351" s="1">
        <v>15527</v>
      </c>
      <c r="C4351" t="s">
        <v>4189</v>
      </c>
      <c r="D4351" t="s">
        <v>4157</v>
      </c>
    </row>
    <row r="4352" spans="1:4" x14ac:dyDescent="0.25">
      <c r="A4352" s="2" t="s">
        <v>4217</v>
      </c>
      <c r="B4352" s="1">
        <v>15450</v>
      </c>
      <c r="C4352" t="s">
        <v>4189</v>
      </c>
      <c r="D4352" t="s">
        <v>4157</v>
      </c>
    </row>
    <row r="4353" spans="1:4" x14ac:dyDescent="0.25">
      <c r="A4353" s="2" t="s">
        <v>4218</v>
      </c>
      <c r="B4353" s="1">
        <v>15384</v>
      </c>
      <c r="C4353" t="s">
        <v>4189</v>
      </c>
      <c r="D4353" t="s">
        <v>4157</v>
      </c>
    </row>
    <row r="4354" spans="1:4" x14ac:dyDescent="0.25">
      <c r="A4354" s="2" t="s">
        <v>4219</v>
      </c>
      <c r="B4354" s="1">
        <v>15484</v>
      </c>
      <c r="C4354" t="s">
        <v>4220</v>
      </c>
      <c r="D4354" t="s">
        <v>4157</v>
      </c>
    </row>
    <row r="4355" spans="1:4" x14ac:dyDescent="0.25">
      <c r="A4355" s="2" t="s">
        <v>4221</v>
      </c>
      <c r="B4355" s="1">
        <v>15484</v>
      </c>
      <c r="C4355" t="s">
        <v>4220</v>
      </c>
      <c r="D4355" t="s">
        <v>4157</v>
      </c>
    </row>
    <row r="4356" spans="1:4" x14ac:dyDescent="0.25">
      <c r="A4356" s="2" t="s">
        <v>4222</v>
      </c>
      <c r="B4356" s="1">
        <v>15484</v>
      </c>
      <c r="C4356" t="s">
        <v>4220</v>
      </c>
      <c r="D4356" t="s">
        <v>4157</v>
      </c>
    </row>
    <row r="4357" spans="1:4" x14ac:dyDescent="0.25">
      <c r="A4357" s="2" t="s">
        <v>4223</v>
      </c>
      <c r="B4357" s="1">
        <v>15524</v>
      </c>
      <c r="C4357" t="s">
        <v>4220</v>
      </c>
      <c r="D4357" t="s">
        <v>4157</v>
      </c>
    </row>
    <row r="4358" spans="1:4" x14ac:dyDescent="0.25">
      <c r="A4358" s="2" t="s">
        <v>4224</v>
      </c>
      <c r="B4358" s="1">
        <v>15446</v>
      </c>
      <c r="C4358" t="s">
        <v>4220</v>
      </c>
      <c r="D4358" t="s">
        <v>4157</v>
      </c>
    </row>
    <row r="4359" spans="1:4" x14ac:dyDescent="0.25">
      <c r="A4359" s="2" t="s">
        <v>4225</v>
      </c>
      <c r="B4359" s="1">
        <v>15504</v>
      </c>
      <c r="C4359" t="s">
        <v>4220</v>
      </c>
      <c r="D4359" t="s">
        <v>4157</v>
      </c>
    </row>
    <row r="4360" spans="1:4" x14ac:dyDescent="0.25">
      <c r="A4360" s="2" t="s">
        <v>4226</v>
      </c>
      <c r="B4360" s="1">
        <v>15504</v>
      </c>
      <c r="C4360" t="s">
        <v>4220</v>
      </c>
      <c r="D4360" t="s">
        <v>4157</v>
      </c>
    </row>
    <row r="4361" spans="1:4" x14ac:dyDescent="0.25">
      <c r="A4361" s="2" t="s">
        <v>4227</v>
      </c>
      <c r="B4361" s="1">
        <v>15536</v>
      </c>
      <c r="C4361" t="s">
        <v>4220</v>
      </c>
      <c r="D4361" t="s">
        <v>4157</v>
      </c>
    </row>
    <row r="4362" spans="1:4" x14ac:dyDescent="0.25">
      <c r="A4362" s="2" t="s">
        <v>4228</v>
      </c>
      <c r="B4362" s="1">
        <v>15536</v>
      </c>
      <c r="C4362" t="s">
        <v>4220</v>
      </c>
      <c r="D4362" t="s">
        <v>4157</v>
      </c>
    </row>
    <row r="4363" spans="1:4" x14ac:dyDescent="0.25">
      <c r="A4363" s="2" t="s">
        <v>4229</v>
      </c>
      <c r="B4363" s="1">
        <v>15536</v>
      </c>
      <c r="C4363" t="s">
        <v>4220</v>
      </c>
      <c r="D4363" t="s">
        <v>4157</v>
      </c>
    </row>
    <row r="4364" spans="1:4" x14ac:dyDescent="0.25">
      <c r="A4364" s="2" t="s">
        <v>4230</v>
      </c>
      <c r="B4364" s="1">
        <v>15500</v>
      </c>
      <c r="C4364" t="s">
        <v>4220</v>
      </c>
      <c r="D4364" t="s">
        <v>4157</v>
      </c>
    </row>
    <row r="4365" spans="1:4" x14ac:dyDescent="0.25">
      <c r="A4365" s="2" t="s">
        <v>4231</v>
      </c>
      <c r="B4365" s="1">
        <v>15614</v>
      </c>
      <c r="C4365" t="s">
        <v>4220</v>
      </c>
      <c r="D4365" t="s">
        <v>4157</v>
      </c>
    </row>
    <row r="4366" spans="1:4" x14ac:dyDescent="0.25">
      <c r="A4366" s="2" t="s">
        <v>4232</v>
      </c>
      <c r="B4366" s="1">
        <v>15631</v>
      </c>
      <c r="C4366" t="s">
        <v>4220</v>
      </c>
      <c r="D4366" t="s">
        <v>4157</v>
      </c>
    </row>
    <row r="4367" spans="1:4" x14ac:dyDescent="0.25">
      <c r="A4367" s="2" t="s">
        <v>4233</v>
      </c>
      <c r="B4367" s="1">
        <v>15629</v>
      </c>
      <c r="C4367" t="s">
        <v>4220</v>
      </c>
      <c r="D4367" t="s">
        <v>4157</v>
      </c>
    </row>
    <row r="4368" spans="1:4" x14ac:dyDescent="0.25">
      <c r="A4368" s="2" t="s">
        <v>4234</v>
      </c>
      <c r="B4368" s="1">
        <v>15493</v>
      </c>
      <c r="C4368" t="s">
        <v>4220</v>
      </c>
      <c r="D4368" t="s">
        <v>4157</v>
      </c>
    </row>
    <row r="4369" spans="1:4" x14ac:dyDescent="0.25">
      <c r="A4369" s="2" t="s">
        <v>4235</v>
      </c>
      <c r="B4369" s="1">
        <v>15493</v>
      </c>
      <c r="C4369" t="s">
        <v>4220</v>
      </c>
      <c r="D4369" t="s">
        <v>4157</v>
      </c>
    </row>
    <row r="4370" spans="1:4" x14ac:dyDescent="0.25">
      <c r="A4370" s="2" t="s">
        <v>4236</v>
      </c>
      <c r="B4370" s="1">
        <v>15493</v>
      </c>
      <c r="C4370" t="s">
        <v>4220</v>
      </c>
      <c r="D4370" t="s">
        <v>4157</v>
      </c>
    </row>
    <row r="4371" spans="1:4" x14ac:dyDescent="0.25">
      <c r="A4371" s="2" t="s">
        <v>4237</v>
      </c>
      <c r="B4371" s="1">
        <v>15503</v>
      </c>
      <c r="C4371" t="s">
        <v>4220</v>
      </c>
      <c r="D4371" t="s">
        <v>4157</v>
      </c>
    </row>
    <row r="4372" spans="1:4" x14ac:dyDescent="0.25">
      <c r="A4372" s="2" t="s">
        <v>4238</v>
      </c>
      <c r="B4372" s="1">
        <v>15516</v>
      </c>
      <c r="C4372" t="s">
        <v>4220</v>
      </c>
      <c r="D4372" t="s">
        <v>4157</v>
      </c>
    </row>
    <row r="4373" spans="1:4" x14ac:dyDescent="0.25">
      <c r="A4373" s="2" t="s">
        <v>4239</v>
      </c>
      <c r="B4373" s="1">
        <v>15506</v>
      </c>
      <c r="C4373" t="s">
        <v>4220</v>
      </c>
      <c r="D4373" t="s">
        <v>4157</v>
      </c>
    </row>
    <row r="4374" spans="1:4" x14ac:dyDescent="0.25">
      <c r="A4374" s="2" t="s">
        <v>4240</v>
      </c>
      <c r="B4374" s="1">
        <v>15512</v>
      </c>
      <c r="C4374" t="s">
        <v>4220</v>
      </c>
      <c r="D4374" t="s">
        <v>4157</v>
      </c>
    </row>
    <row r="4375" spans="1:4" x14ac:dyDescent="0.25">
      <c r="A4375" s="2" t="s">
        <v>4241</v>
      </c>
      <c r="B4375" s="1">
        <v>15533</v>
      </c>
      <c r="C4375" t="s">
        <v>4220</v>
      </c>
      <c r="D4375" t="s">
        <v>4157</v>
      </c>
    </row>
    <row r="4376" spans="1:4" x14ac:dyDescent="0.25">
      <c r="A4376" s="2" t="s">
        <v>4242</v>
      </c>
      <c r="B4376" s="1">
        <v>15533</v>
      </c>
      <c r="C4376" t="s">
        <v>4220</v>
      </c>
      <c r="D4376" t="s">
        <v>4157</v>
      </c>
    </row>
    <row r="4377" spans="1:4" x14ac:dyDescent="0.25">
      <c r="A4377" s="2" t="s">
        <v>4243</v>
      </c>
      <c r="B4377" s="1">
        <v>15533</v>
      </c>
      <c r="C4377" t="s">
        <v>4220</v>
      </c>
      <c r="D4377" t="s">
        <v>4157</v>
      </c>
    </row>
    <row r="4378" spans="1:4" x14ac:dyDescent="0.25">
      <c r="A4378" s="2" t="s">
        <v>4244</v>
      </c>
      <c r="B4378" s="1">
        <v>15533</v>
      </c>
      <c r="C4378" t="s">
        <v>4220</v>
      </c>
      <c r="D4378" t="s">
        <v>4157</v>
      </c>
    </row>
    <row r="4379" spans="1:4" x14ac:dyDescent="0.25">
      <c r="A4379" s="2" t="s">
        <v>4245</v>
      </c>
      <c r="B4379" s="1">
        <v>15489</v>
      </c>
      <c r="C4379" t="s">
        <v>4220</v>
      </c>
      <c r="D4379" t="s">
        <v>4157</v>
      </c>
    </row>
    <row r="4380" spans="1:4" x14ac:dyDescent="0.25">
      <c r="A4380" s="2" t="s">
        <v>4246</v>
      </c>
      <c r="B4380" s="1">
        <v>15489</v>
      </c>
      <c r="C4380" t="s">
        <v>4220</v>
      </c>
      <c r="D4380" t="s">
        <v>4157</v>
      </c>
    </row>
    <row r="4381" spans="1:4" x14ac:dyDescent="0.25">
      <c r="A4381" s="2" t="s">
        <v>4247</v>
      </c>
      <c r="B4381" s="1">
        <v>15414</v>
      </c>
      <c r="C4381" t="s">
        <v>4220</v>
      </c>
      <c r="D4381" t="s">
        <v>4157</v>
      </c>
    </row>
    <row r="4382" spans="1:4" x14ac:dyDescent="0.25">
      <c r="A4382" s="2" t="s">
        <v>4248</v>
      </c>
      <c r="B4382" s="1">
        <v>15416</v>
      </c>
      <c r="C4382" t="s">
        <v>4220</v>
      </c>
      <c r="D4382" t="s">
        <v>4157</v>
      </c>
    </row>
    <row r="4383" spans="1:4" x14ac:dyDescent="0.25">
      <c r="A4383" s="2" t="s">
        <v>4249</v>
      </c>
      <c r="B4383" s="1">
        <v>15416</v>
      </c>
      <c r="C4383" t="s">
        <v>4220</v>
      </c>
      <c r="D4383" t="s">
        <v>4157</v>
      </c>
    </row>
    <row r="4384" spans="1:4" x14ac:dyDescent="0.25">
      <c r="A4384" s="2" t="s">
        <v>4250</v>
      </c>
      <c r="B4384" s="1">
        <v>15416</v>
      </c>
      <c r="C4384" t="s">
        <v>4220</v>
      </c>
      <c r="D4384" t="s">
        <v>4157</v>
      </c>
    </row>
    <row r="4385" spans="1:4" x14ac:dyDescent="0.25">
      <c r="A4385" s="2" t="s">
        <v>4251</v>
      </c>
      <c r="B4385" s="1">
        <v>15416</v>
      </c>
      <c r="C4385" t="s">
        <v>4252</v>
      </c>
      <c r="D4385" t="s">
        <v>4253</v>
      </c>
    </row>
    <row r="4386" spans="1:4" x14ac:dyDescent="0.25">
      <c r="A4386" s="2" t="s">
        <v>4254</v>
      </c>
      <c r="B4386" s="1">
        <v>15439</v>
      </c>
      <c r="C4386" t="s">
        <v>4252</v>
      </c>
      <c r="D4386" t="s">
        <v>4253</v>
      </c>
    </row>
    <row r="4387" spans="1:4" x14ac:dyDescent="0.25">
      <c r="A4387" s="2" t="s">
        <v>4255</v>
      </c>
      <c r="B4387" s="1">
        <v>15473</v>
      </c>
      <c r="C4387" t="s">
        <v>4252</v>
      </c>
      <c r="D4387" t="s">
        <v>4253</v>
      </c>
    </row>
    <row r="4388" spans="1:4" x14ac:dyDescent="0.25">
      <c r="A4388" s="2" t="s">
        <v>4256</v>
      </c>
      <c r="B4388" s="1">
        <v>15495</v>
      </c>
      <c r="C4388" t="s">
        <v>4252</v>
      </c>
      <c r="D4388" t="s">
        <v>4253</v>
      </c>
    </row>
    <row r="4389" spans="1:4" x14ac:dyDescent="0.25">
      <c r="A4389" s="2" t="s">
        <v>4257</v>
      </c>
      <c r="B4389" s="1">
        <v>15525</v>
      </c>
      <c r="C4389" t="s">
        <v>4252</v>
      </c>
      <c r="D4389" t="s">
        <v>4253</v>
      </c>
    </row>
    <row r="4390" spans="1:4" x14ac:dyDescent="0.25">
      <c r="A4390" s="2" t="s">
        <v>4258</v>
      </c>
      <c r="B4390" s="1">
        <v>15525</v>
      </c>
      <c r="C4390" t="s">
        <v>4252</v>
      </c>
      <c r="D4390" t="s">
        <v>4253</v>
      </c>
    </row>
    <row r="4391" spans="1:4" x14ac:dyDescent="0.25">
      <c r="A4391" s="2" t="s">
        <v>4259</v>
      </c>
      <c r="B4391" s="1">
        <v>15525</v>
      </c>
      <c r="C4391" t="s">
        <v>4252</v>
      </c>
      <c r="D4391" t="s">
        <v>4253</v>
      </c>
    </row>
    <row r="4392" spans="1:4" x14ac:dyDescent="0.25">
      <c r="A4392" s="2" t="s">
        <v>4260</v>
      </c>
      <c r="B4392" s="1">
        <v>15518</v>
      </c>
      <c r="C4392" t="s">
        <v>4252</v>
      </c>
      <c r="D4392" t="s">
        <v>4253</v>
      </c>
    </row>
    <row r="4393" spans="1:4" x14ac:dyDescent="0.25">
      <c r="A4393" s="2" t="s">
        <v>4261</v>
      </c>
      <c r="B4393" s="1">
        <v>15522</v>
      </c>
      <c r="C4393" t="s">
        <v>4252</v>
      </c>
      <c r="D4393" t="s">
        <v>4253</v>
      </c>
    </row>
    <row r="4394" spans="1:4" x14ac:dyDescent="0.25">
      <c r="A4394" s="2" t="s">
        <v>4262</v>
      </c>
      <c r="B4394" s="1">
        <v>15518</v>
      </c>
      <c r="C4394" t="s">
        <v>4252</v>
      </c>
      <c r="D4394" t="s">
        <v>4253</v>
      </c>
    </row>
    <row r="4395" spans="1:4" x14ac:dyDescent="0.25">
      <c r="A4395" s="2" t="s">
        <v>4263</v>
      </c>
      <c r="B4395" s="1">
        <v>15568</v>
      </c>
      <c r="C4395" t="s">
        <v>4252</v>
      </c>
      <c r="D4395" t="s">
        <v>4253</v>
      </c>
    </row>
    <row r="4396" spans="1:4" x14ac:dyDescent="0.25">
      <c r="A4396" s="2" t="s">
        <v>4264</v>
      </c>
      <c r="B4396" s="1">
        <v>15558</v>
      </c>
      <c r="C4396" t="s">
        <v>4252</v>
      </c>
      <c r="D4396" t="s">
        <v>4253</v>
      </c>
    </row>
    <row r="4397" spans="1:4" x14ac:dyDescent="0.25">
      <c r="A4397" s="2" t="s">
        <v>4265</v>
      </c>
      <c r="B4397" s="1">
        <v>15558</v>
      </c>
      <c r="C4397" t="s">
        <v>4252</v>
      </c>
      <c r="D4397" t="s">
        <v>4253</v>
      </c>
    </row>
    <row r="4398" spans="1:4" x14ac:dyDescent="0.25">
      <c r="A4398" s="2" t="s">
        <v>4266</v>
      </c>
      <c r="B4398" s="1">
        <v>15558</v>
      </c>
      <c r="C4398" t="s">
        <v>4252</v>
      </c>
      <c r="D4398" t="s">
        <v>4253</v>
      </c>
    </row>
    <row r="4399" spans="1:4" x14ac:dyDescent="0.25">
      <c r="A4399" s="2" t="s">
        <v>4267</v>
      </c>
      <c r="B4399" s="1">
        <v>15559</v>
      </c>
      <c r="C4399" t="s">
        <v>4252</v>
      </c>
      <c r="D4399" t="s">
        <v>4253</v>
      </c>
    </row>
    <row r="4400" spans="1:4" x14ac:dyDescent="0.25">
      <c r="A4400" s="2" t="s">
        <v>4268</v>
      </c>
      <c r="B4400" s="1">
        <v>15555</v>
      </c>
      <c r="C4400" t="s">
        <v>4252</v>
      </c>
      <c r="D4400" t="s">
        <v>4253</v>
      </c>
    </row>
    <row r="4401" spans="1:4" x14ac:dyDescent="0.25">
      <c r="A4401" s="2" t="s">
        <v>4269</v>
      </c>
      <c r="B4401" s="1">
        <v>15592</v>
      </c>
      <c r="C4401" t="s">
        <v>4252</v>
      </c>
      <c r="D4401" t="s">
        <v>4253</v>
      </c>
    </row>
    <row r="4402" spans="1:4" x14ac:dyDescent="0.25">
      <c r="A4402" s="2" t="s">
        <v>4270</v>
      </c>
      <c r="B4402" s="1">
        <v>15639</v>
      </c>
      <c r="C4402" t="s">
        <v>4252</v>
      </c>
      <c r="D4402" t="s">
        <v>4253</v>
      </c>
    </row>
    <row r="4403" spans="1:4" x14ac:dyDescent="0.25">
      <c r="A4403" s="2" t="s">
        <v>4271</v>
      </c>
      <c r="B4403" s="1">
        <v>15630</v>
      </c>
      <c r="C4403" t="s">
        <v>4252</v>
      </c>
      <c r="D4403" t="s">
        <v>4253</v>
      </c>
    </row>
    <row r="4404" spans="1:4" x14ac:dyDescent="0.25">
      <c r="A4404" s="2" t="s">
        <v>4272</v>
      </c>
      <c r="B4404" s="1">
        <v>15630</v>
      </c>
      <c r="C4404" t="s">
        <v>4252</v>
      </c>
      <c r="D4404" t="s">
        <v>4253</v>
      </c>
    </row>
    <row r="4405" spans="1:4" x14ac:dyDescent="0.25">
      <c r="A4405" s="2" t="s">
        <v>4273</v>
      </c>
      <c r="B4405" s="1">
        <v>15630</v>
      </c>
      <c r="C4405" t="s">
        <v>4252</v>
      </c>
      <c r="D4405" t="s">
        <v>4253</v>
      </c>
    </row>
    <row r="4406" spans="1:4" x14ac:dyDescent="0.25">
      <c r="A4406" s="2" t="s">
        <v>4274</v>
      </c>
      <c r="B4406" s="1">
        <v>15628</v>
      </c>
      <c r="C4406" t="s">
        <v>4252</v>
      </c>
      <c r="D4406" t="s">
        <v>4253</v>
      </c>
    </row>
    <row r="4407" spans="1:4" x14ac:dyDescent="0.25">
      <c r="A4407" s="2" t="s">
        <v>4275</v>
      </c>
      <c r="B4407" s="1">
        <v>15627</v>
      </c>
      <c r="C4407" t="s">
        <v>4252</v>
      </c>
      <c r="D4407" t="s">
        <v>4253</v>
      </c>
    </row>
    <row r="4408" spans="1:4" x14ac:dyDescent="0.25">
      <c r="A4408" s="2" t="s">
        <v>4276</v>
      </c>
      <c r="B4408" s="1">
        <v>15656</v>
      </c>
      <c r="C4408" t="s">
        <v>4252</v>
      </c>
      <c r="D4408" t="s">
        <v>4253</v>
      </c>
    </row>
    <row r="4409" spans="1:4" x14ac:dyDescent="0.25">
      <c r="A4409" s="2" t="s">
        <v>4277</v>
      </c>
      <c r="B4409" s="1">
        <v>15719</v>
      </c>
      <c r="C4409" t="s">
        <v>4252</v>
      </c>
      <c r="D4409" t="s">
        <v>4253</v>
      </c>
    </row>
    <row r="4410" spans="1:4" x14ac:dyDescent="0.25">
      <c r="A4410" s="2" t="s">
        <v>4278</v>
      </c>
      <c r="B4410" s="1">
        <v>15767</v>
      </c>
      <c r="C4410" t="s">
        <v>4252</v>
      </c>
      <c r="D4410" t="s">
        <v>4253</v>
      </c>
    </row>
    <row r="4411" spans="1:4" x14ac:dyDescent="0.25">
      <c r="A4411" s="2" t="s">
        <v>4279</v>
      </c>
      <c r="B4411" s="1">
        <v>15767</v>
      </c>
      <c r="C4411" t="s">
        <v>4252</v>
      </c>
      <c r="D4411" t="s">
        <v>4253</v>
      </c>
    </row>
    <row r="4412" spans="1:4" x14ac:dyDescent="0.25">
      <c r="A4412" s="2" t="s">
        <v>4280</v>
      </c>
      <c r="B4412" s="1">
        <v>15767</v>
      </c>
      <c r="C4412" t="s">
        <v>4252</v>
      </c>
      <c r="D4412" t="s">
        <v>4253</v>
      </c>
    </row>
    <row r="4413" spans="1:4" x14ac:dyDescent="0.25">
      <c r="A4413" s="2" t="s">
        <v>4281</v>
      </c>
      <c r="B4413" s="1">
        <v>15829</v>
      </c>
      <c r="C4413" t="s">
        <v>4252</v>
      </c>
      <c r="D4413" t="s">
        <v>4253</v>
      </c>
    </row>
    <row r="4414" spans="1:4" x14ac:dyDescent="0.25">
      <c r="A4414" s="2" t="s">
        <v>4282</v>
      </c>
      <c r="B4414" s="1">
        <v>15825</v>
      </c>
      <c r="C4414" t="s">
        <v>4252</v>
      </c>
      <c r="D4414" t="s">
        <v>4253</v>
      </c>
    </row>
    <row r="4415" spans="1:4" x14ac:dyDescent="0.25">
      <c r="A4415" s="2" t="s">
        <v>4283</v>
      </c>
      <c r="B4415" s="1">
        <v>15796</v>
      </c>
      <c r="C4415" t="s">
        <v>4252</v>
      </c>
      <c r="D4415" t="s">
        <v>4253</v>
      </c>
    </row>
    <row r="4416" spans="1:4" x14ac:dyDescent="0.25">
      <c r="A4416" s="2" t="s">
        <v>4284</v>
      </c>
      <c r="B4416" s="1">
        <v>15803</v>
      </c>
      <c r="C4416" t="s">
        <v>4285</v>
      </c>
      <c r="D4416" t="s">
        <v>4253</v>
      </c>
    </row>
    <row r="4417" spans="1:4" x14ac:dyDescent="0.25">
      <c r="A4417" s="2" t="s">
        <v>4286</v>
      </c>
      <c r="B4417" s="1">
        <v>15775</v>
      </c>
      <c r="C4417" t="s">
        <v>4285</v>
      </c>
      <c r="D4417" t="s">
        <v>4253</v>
      </c>
    </row>
    <row r="4418" spans="1:4" x14ac:dyDescent="0.25">
      <c r="A4418" s="2" t="s">
        <v>4287</v>
      </c>
      <c r="B4418" s="1">
        <v>15775</v>
      </c>
      <c r="C4418" t="s">
        <v>4285</v>
      </c>
      <c r="D4418" t="s">
        <v>4253</v>
      </c>
    </row>
    <row r="4419" spans="1:4" x14ac:dyDescent="0.25">
      <c r="A4419" s="2" t="s">
        <v>4288</v>
      </c>
      <c r="B4419" s="1">
        <v>15775</v>
      </c>
      <c r="C4419" t="s">
        <v>4285</v>
      </c>
      <c r="D4419" t="s">
        <v>4253</v>
      </c>
    </row>
    <row r="4420" spans="1:4" x14ac:dyDescent="0.25">
      <c r="A4420" s="2" t="s">
        <v>4289</v>
      </c>
      <c r="B4420" s="1">
        <v>15688</v>
      </c>
      <c r="C4420" t="s">
        <v>4285</v>
      </c>
      <c r="D4420" t="s">
        <v>4253</v>
      </c>
    </row>
    <row r="4421" spans="1:4" x14ac:dyDescent="0.25">
      <c r="A4421" s="2" t="s">
        <v>4290</v>
      </c>
      <c r="B4421" s="1">
        <v>15705</v>
      </c>
      <c r="C4421" t="s">
        <v>4285</v>
      </c>
      <c r="D4421" t="s">
        <v>4253</v>
      </c>
    </row>
    <row r="4422" spans="1:4" x14ac:dyDescent="0.25">
      <c r="A4422" s="2" t="s">
        <v>4291</v>
      </c>
      <c r="B4422" s="1">
        <v>15734</v>
      </c>
      <c r="C4422" t="s">
        <v>4285</v>
      </c>
      <c r="D4422" t="s">
        <v>4253</v>
      </c>
    </row>
    <row r="4423" spans="1:4" x14ac:dyDescent="0.25">
      <c r="A4423" s="2" t="s">
        <v>4292</v>
      </c>
      <c r="B4423" s="1">
        <v>15734</v>
      </c>
      <c r="C4423" t="s">
        <v>4285</v>
      </c>
      <c r="D4423" t="s">
        <v>4253</v>
      </c>
    </row>
    <row r="4424" spans="1:4" x14ac:dyDescent="0.25">
      <c r="A4424" s="2" t="s">
        <v>4293</v>
      </c>
      <c r="B4424" s="1">
        <v>15685</v>
      </c>
      <c r="C4424" t="s">
        <v>4285</v>
      </c>
      <c r="D4424" t="s">
        <v>4253</v>
      </c>
    </row>
    <row r="4425" spans="1:4" x14ac:dyDescent="0.25">
      <c r="A4425" s="2" t="s">
        <v>4294</v>
      </c>
      <c r="B4425" s="1">
        <v>15685</v>
      </c>
      <c r="C4425" t="s">
        <v>4285</v>
      </c>
      <c r="D4425" t="s">
        <v>4253</v>
      </c>
    </row>
    <row r="4426" spans="1:4" x14ac:dyDescent="0.25">
      <c r="A4426" s="2" t="s">
        <v>4295</v>
      </c>
      <c r="B4426" s="1">
        <v>15685</v>
      </c>
      <c r="C4426" t="s">
        <v>4285</v>
      </c>
      <c r="D4426" t="s">
        <v>4253</v>
      </c>
    </row>
    <row r="4427" spans="1:4" x14ac:dyDescent="0.25">
      <c r="A4427" s="2" t="s">
        <v>4296</v>
      </c>
      <c r="B4427" s="1">
        <v>15685</v>
      </c>
      <c r="C4427" t="s">
        <v>4285</v>
      </c>
      <c r="D4427" t="s">
        <v>4253</v>
      </c>
    </row>
    <row r="4428" spans="1:4" x14ac:dyDescent="0.25">
      <c r="A4428" s="2" t="s">
        <v>4297</v>
      </c>
      <c r="B4428" s="1">
        <v>15612</v>
      </c>
      <c r="C4428" t="s">
        <v>4285</v>
      </c>
      <c r="D4428" t="s">
        <v>4253</v>
      </c>
    </row>
    <row r="4429" spans="1:4" x14ac:dyDescent="0.25">
      <c r="A4429" s="2" t="s">
        <v>4298</v>
      </c>
      <c r="B4429" s="1">
        <v>15612</v>
      </c>
      <c r="C4429" t="s">
        <v>4285</v>
      </c>
      <c r="D4429" t="s">
        <v>4253</v>
      </c>
    </row>
    <row r="4430" spans="1:4" x14ac:dyDescent="0.25">
      <c r="A4430" s="2" t="s">
        <v>4299</v>
      </c>
      <c r="B4430" s="1">
        <v>15585</v>
      </c>
      <c r="C4430" t="s">
        <v>4285</v>
      </c>
      <c r="D4430" t="s">
        <v>4253</v>
      </c>
    </row>
    <row r="4431" spans="1:4" x14ac:dyDescent="0.25">
      <c r="A4431" s="2" t="s">
        <v>4300</v>
      </c>
      <c r="B4431" s="1">
        <v>15606</v>
      </c>
      <c r="C4431" t="s">
        <v>4285</v>
      </c>
      <c r="D4431" t="s">
        <v>4253</v>
      </c>
    </row>
    <row r="4432" spans="1:4" x14ac:dyDescent="0.25">
      <c r="A4432" s="2" t="s">
        <v>4301</v>
      </c>
      <c r="B4432" s="1">
        <v>15606</v>
      </c>
      <c r="C4432" t="s">
        <v>4285</v>
      </c>
      <c r="D4432" t="s">
        <v>4253</v>
      </c>
    </row>
    <row r="4433" spans="1:4" x14ac:dyDescent="0.25">
      <c r="A4433" s="2" t="s">
        <v>4302</v>
      </c>
      <c r="B4433" s="1">
        <v>15606</v>
      </c>
      <c r="C4433" t="s">
        <v>4285</v>
      </c>
      <c r="D4433" t="s">
        <v>4253</v>
      </c>
    </row>
    <row r="4434" spans="1:4" x14ac:dyDescent="0.25">
      <c r="A4434" s="2" t="s">
        <v>4303</v>
      </c>
      <c r="B4434" s="1">
        <v>15654</v>
      </c>
      <c r="C4434" t="s">
        <v>4285</v>
      </c>
      <c r="D4434" t="s">
        <v>4253</v>
      </c>
    </row>
    <row r="4435" spans="1:4" x14ac:dyDescent="0.25">
      <c r="A4435" s="2" t="s">
        <v>4304</v>
      </c>
      <c r="B4435" s="1">
        <v>15630</v>
      </c>
      <c r="C4435" t="s">
        <v>4285</v>
      </c>
      <c r="D4435" t="s">
        <v>4253</v>
      </c>
    </row>
    <row r="4436" spans="1:4" x14ac:dyDescent="0.25">
      <c r="A4436" s="2" t="s">
        <v>4305</v>
      </c>
      <c r="B4436" s="1">
        <v>15659</v>
      </c>
      <c r="C4436" t="s">
        <v>4285</v>
      </c>
      <c r="D4436" t="s">
        <v>4253</v>
      </c>
    </row>
    <row r="4437" spans="1:4" x14ac:dyDescent="0.25">
      <c r="A4437" s="2" t="s">
        <v>4306</v>
      </c>
      <c r="B4437" s="1">
        <v>15658</v>
      </c>
      <c r="C4437" t="s">
        <v>4285</v>
      </c>
      <c r="D4437" t="s">
        <v>4253</v>
      </c>
    </row>
    <row r="4438" spans="1:4" x14ac:dyDescent="0.25">
      <c r="A4438" s="2" t="s">
        <v>4307</v>
      </c>
      <c r="B4438" s="1">
        <v>15630</v>
      </c>
      <c r="C4438" t="s">
        <v>4285</v>
      </c>
      <c r="D4438" t="s">
        <v>4253</v>
      </c>
    </row>
    <row r="4439" spans="1:4" x14ac:dyDescent="0.25">
      <c r="A4439" s="2" t="s">
        <v>4308</v>
      </c>
      <c r="B4439" s="1">
        <v>15630</v>
      </c>
      <c r="C4439" t="s">
        <v>4285</v>
      </c>
      <c r="D4439" t="s">
        <v>4253</v>
      </c>
    </row>
    <row r="4440" spans="1:4" x14ac:dyDescent="0.25">
      <c r="A4440" s="2" t="s">
        <v>4309</v>
      </c>
      <c r="B4440" s="1">
        <v>15630</v>
      </c>
      <c r="C4440" t="s">
        <v>4285</v>
      </c>
      <c r="D4440" t="s">
        <v>4253</v>
      </c>
    </row>
    <row r="4441" spans="1:4" x14ac:dyDescent="0.25">
      <c r="A4441" s="2" t="s">
        <v>4310</v>
      </c>
      <c r="B4441" s="1">
        <v>15589</v>
      </c>
      <c r="C4441" t="s">
        <v>4285</v>
      </c>
      <c r="D4441" t="s">
        <v>4253</v>
      </c>
    </row>
    <row r="4442" spans="1:4" x14ac:dyDescent="0.25">
      <c r="A4442" s="2" t="s">
        <v>4311</v>
      </c>
      <c r="B4442" s="1">
        <v>15635</v>
      </c>
      <c r="C4442" t="s">
        <v>4285</v>
      </c>
      <c r="D4442" t="s">
        <v>4253</v>
      </c>
    </row>
    <row r="4443" spans="1:4" x14ac:dyDescent="0.25">
      <c r="A4443" s="2" t="s">
        <v>4312</v>
      </c>
      <c r="B4443" s="1">
        <v>15655</v>
      </c>
      <c r="C4443" t="s">
        <v>4285</v>
      </c>
      <c r="D4443" t="s">
        <v>4253</v>
      </c>
    </row>
    <row r="4444" spans="1:4" x14ac:dyDescent="0.25">
      <c r="A4444" s="2" t="s">
        <v>4313</v>
      </c>
      <c r="B4444" s="1">
        <v>15673</v>
      </c>
      <c r="C4444" t="s">
        <v>4285</v>
      </c>
      <c r="D4444" t="s">
        <v>4253</v>
      </c>
    </row>
    <row r="4445" spans="1:4" x14ac:dyDescent="0.25">
      <c r="A4445" s="2" t="s">
        <v>4314</v>
      </c>
      <c r="B4445" s="1">
        <v>15715</v>
      </c>
      <c r="C4445" t="s">
        <v>4315</v>
      </c>
      <c r="D4445" t="s">
        <v>4253</v>
      </c>
    </row>
    <row r="4446" spans="1:4" x14ac:dyDescent="0.25">
      <c r="A4446" s="2" t="s">
        <v>4316</v>
      </c>
      <c r="B4446" s="1">
        <v>15715</v>
      </c>
      <c r="C4446" t="s">
        <v>4315</v>
      </c>
      <c r="D4446" t="s">
        <v>4253</v>
      </c>
    </row>
    <row r="4447" spans="1:4" x14ac:dyDescent="0.25">
      <c r="A4447" s="2" t="s">
        <v>4317</v>
      </c>
      <c r="B4447" s="1">
        <v>15715</v>
      </c>
      <c r="C4447" t="s">
        <v>4315</v>
      </c>
      <c r="D4447" t="s">
        <v>4253</v>
      </c>
    </row>
    <row r="4448" spans="1:4" x14ac:dyDescent="0.25">
      <c r="A4448" s="2" t="s">
        <v>4318</v>
      </c>
      <c r="B4448" s="1">
        <v>15696</v>
      </c>
      <c r="C4448" t="s">
        <v>4315</v>
      </c>
      <c r="D4448" t="s">
        <v>4253</v>
      </c>
    </row>
    <row r="4449" spans="1:4" x14ac:dyDescent="0.25">
      <c r="A4449" s="2" t="s">
        <v>4319</v>
      </c>
      <c r="B4449" s="1">
        <v>15723</v>
      </c>
      <c r="C4449" t="s">
        <v>4315</v>
      </c>
      <c r="D4449" t="s">
        <v>4253</v>
      </c>
    </row>
    <row r="4450" spans="1:4" x14ac:dyDescent="0.25">
      <c r="A4450" s="2" t="s">
        <v>4320</v>
      </c>
      <c r="B4450" s="1">
        <v>15756</v>
      </c>
      <c r="C4450" t="s">
        <v>4315</v>
      </c>
      <c r="D4450" t="s">
        <v>4253</v>
      </c>
    </row>
    <row r="4451" spans="1:4" x14ac:dyDescent="0.25">
      <c r="A4451" s="2" t="s">
        <v>4321</v>
      </c>
      <c r="B4451" s="1">
        <v>15723</v>
      </c>
      <c r="C4451" t="s">
        <v>4315</v>
      </c>
      <c r="D4451" t="s">
        <v>4253</v>
      </c>
    </row>
    <row r="4452" spans="1:4" x14ac:dyDescent="0.25">
      <c r="A4452" s="2" t="s">
        <v>4322</v>
      </c>
      <c r="B4452" s="1">
        <v>15658</v>
      </c>
      <c r="C4452" t="s">
        <v>4315</v>
      </c>
      <c r="D4452" t="s">
        <v>4253</v>
      </c>
    </row>
    <row r="4453" spans="1:4" x14ac:dyDescent="0.25">
      <c r="A4453" s="2" t="s">
        <v>4323</v>
      </c>
      <c r="B4453" s="1">
        <v>15658</v>
      </c>
      <c r="C4453" t="s">
        <v>4315</v>
      </c>
      <c r="D4453" t="s">
        <v>4253</v>
      </c>
    </row>
    <row r="4454" spans="1:4" x14ac:dyDescent="0.25">
      <c r="A4454" s="2" t="s">
        <v>4324</v>
      </c>
      <c r="B4454" s="1">
        <v>15658</v>
      </c>
      <c r="C4454" t="s">
        <v>4315</v>
      </c>
      <c r="D4454" t="s">
        <v>4253</v>
      </c>
    </row>
    <row r="4455" spans="1:4" x14ac:dyDescent="0.25">
      <c r="A4455" s="2" t="s">
        <v>4325</v>
      </c>
      <c r="B4455" s="1">
        <v>15658</v>
      </c>
      <c r="C4455" t="s">
        <v>4315</v>
      </c>
      <c r="D4455" t="s">
        <v>4253</v>
      </c>
    </row>
    <row r="4456" spans="1:4" x14ac:dyDescent="0.25">
      <c r="A4456" s="2" t="s">
        <v>4326</v>
      </c>
      <c r="B4456" s="1">
        <v>15603</v>
      </c>
      <c r="C4456" t="s">
        <v>4315</v>
      </c>
      <c r="D4456" t="s">
        <v>4253</v>
      </c>
    </row>
    <row r="4457" spans="1:4" x14ac:dyDescent="0.25">
      <c r="A4457" s="2" t="s">
        <v>4327</v>
      </c>
      <c r="B4457" s="1">
        <v>15603</v>
      </c>
      <c r="C4457" t="s">
        <v>4315</v>
      </c>
      <c r="D4457" t="s">
        <v>4253</v>
      </c>
    </row>
    <row r="4458" spans="1:4" x14ac:dyDescent="0.25">
      <c r="A4458" s="2" t="s">
        <v>4328</v>
      </c>
      <c r="B4458" s="1">
        <v>15576</v>
      </c>
      <c r="C4458" t="s">
        <v>4315</v>
      </c>
      <c r="D4458" t="s">
        <v>4253</v>
      </c>
    </row>
    <row r="4459" spans="1:4" x14ac:dyDescent="0.25">
      <c r="A4459" s="2" t="s">
        <v>4329</v>
      </c>
      <c r="B4459" s="1">
        <v>15582</v>
      </c>
      <c r="C4459" t="s">
        <v>4315</v>
      </c>
      <c r="D4459" t="s">
        <v>4253</v>
      </c>
    </row>
    <row r="4460" spans="1:4" x14ac:dyDescent="0.25">
      <c r="A4460" s="2" t="s">
        <v>4330</v>
      </c>
      <c r="B4460" s="1">
        <v>15582</v>
      </c>
      <c r="C4460" t="s">
        <v>4315</v>
      </c>
      <c r="D4460" t="s">
        <v>4253</v>
      </c>
    </row>
    <row r="4461" spans="1:4" x14ac:dyDescent="0.25">
      <c r="A4461" s="2" t="s">
        <v>4331</v>
      </c>
      <c r="B4461" s="1">
        <v>15582</v>
      </c>
      <c r="C4461" t="s">
        <v>4315</v>
      </c>
      <c r="D4461" t="s">
        <v>4253</v>
      </c>
    </row>
    <row r="4462" spans="1:4" x14ac:dyDescent="0.25">
      <c r="A4462" s="2" t="s">
        <v>4332</v>
      </c>
      <c r="B4462" s="1">
        <v>15624</v>
      </c>
      <c r="C4462" t="s">
        <v>4315</v>
      </c>
      <c r="D4462" t="s">
        <v>4253</v>
      </c>
    </row>
    <row r="4463" spans="1:4" x14ac:dyDescent="0.25">
      <c r="A4463" s="2" t="s">
        <v>4333</v>
      </c>
      <c r="B4463" s="1">
        <v>15672</v>
      </c>
      <c r="C4463" t="s">
        <v>4315</v>
      </c>
      <c r="D4463" t="s">
        <v>4253</v>
      </c>
    </row>
    <row r="4464" spans="1:4" x14ac:dyDescent="0.25">
      <c r="A4464" s="2" t="s">
        <v>4334</v>
      </c>
      <c r="B4464" s="1">
        <v>15712</v>
      </c>
      <c r="C4464" t="s">
        <v>4315</v>
      </c>
      <c r="D4464" t="s">
        <v>4253</v>
      </c>
    </row>
    <row r="4465" spans="1:4" x14ac:dyDescent="0.25">
      <c r="A4465" s="2" t="s">
        <v>4335</v>
      </c>
      <c r="B4465" s="1">
        <v>15727</v>
      </c>
      <c r="C4465" t="s">
        <v>4315</v>
      </c>
      <c r="D4465" t="s">
        <v>4253</v>
      </c>
    </row>
    <row r="4466" spans="1:4" x14ac:dyDescent="0.25">
      <c r="A4466" s="2" t="s">
        <v>4336</v>
      </c>
      <c r="B4466" s="1">
        <v>15662</v>
      </c>
      <c r="C4466" t="s">
        <v>4315</v>
      </c>
      <c r="D4466" t="s">
        <v>4253</v>
      </c>
    </row>
    <row r="4467" spans="1:4" x14ac:dyDescent="0.25">
      <c r="A4467" s="2" t="s">
        <v>4337</v>
      </c>
      <c r="B4467" s="1">
        <v>15662</v>
      </c>
      <c r="C4467" t="s">
        <v>4315</v>
      </c>
      <c r="D4467" t="s">
        <v>4253</v>
      </c>
    </row>
    <row r="4468" spans="1:4" x14ac:dyDescent="0.25">
      <c r="A4468" s="2" t="s">
        <v>4338</v>
      </c>
      <c r="B4468" s="1">
        <v>15662</v>
      </c>
      <c r="C4468" t="s">
        <v>4315</v>
      </c>
      <c r="D4468" t="s">
        <v>4253</v>
      </c>
    </row>
    <row r="4469" spans="1:4" x14ac:dyDescent="0.25">
      <c r="A4469" s="2" t="s">
        <v>4339</v>
      </c>
      <c r="B4469" s="1">
        <v>15773</v>
      </c>
      <c r="C4469" t="s">
        <v>4315</v>
      </c>
      <c r="D4469" t="s">
        <v>4253</v>
      </c>
    </row>
    <row r="4470" spans="1:4" x14ac:dyDescent="0.25">
      <c r="A4470" s="2" t="s">
        <v>4340</v>
      </c>
      <c r="B4470" s="1">
        <v>15795</v>
      </c>
      <c r="C4470" t="s">
        <v>4315</v>
      </c>
      <c r="D4470" t="s">
        <v>4253</v>
      </c>
    </row>
    <row r="4471" spans="1:4" x14ac:dyDescent="0.25">
      <c r="A4471" s="2" t="s">
        <v>4341</v>
      </c>
      <c r="B4471" s="1">
        <v>15797</v>
      </c>
      <c r="C4471" t="s">
        <v>4315</v>
      </c>
      <c r="D4471" t="s">
        <v>4253</v>
      </c>
    </row>
    <row r="4472" spans="1:4" x14ac:dyDescent="0.25">
      <c r="A4472" s="2" t="s">
        <v>4342</v>
      </c>
      <c r="B4472" s="1">
        <v>15853</v>
      </c>
      <c r="C4472" t="s">
        <v>4315</v>
      </c>
      <c r="D4472" t="s">
        <v>4253</v>
      </c>
    </row>
    <row r="4473" spans="1:4" x14ac:dyDescent="0.25">
      <c r="A4473" s="2" t="s">
        <v>4343</v>
      </c>
      <c r="B4473" s="1">
        <v>15853</v>
      </c>
      <c r="C4473" t="s">
        <v>4315</v>
      </c>
      <c r="D4473" t="s">
        <v>4253</v>
      </c>
    </row>
    <row r="4474" spans="1:4" x14ac:dyDescent="0.25">
      <c r="A4474" s="2" t="s">
        <v>4344</v>
      </c>
      <c r="B4474" s="1">
        <v>15853</v>
      </c>
      <c r="C4474" t="s">
        <v>4315</v>
      </c>
      <c r="D4474" t="s">
        <v>4253</v>
      </c>
    </row>
    <row r="4475" spans="1:4" x14ac:dyDescent="0.25">
      <c r="A4475" s="2" t="s">
        <v>4345</v>
      </c>
      <c r="B4475" s="1">
        <v>15853</v>
      </c>
      <c r="C4475" t="s">
        <v>4315</v>
      </c>
      <c r="D4475" t="s">
        <v>4253</v>
      </c>
    </row>
    <row r="4476" spans="1:4" x14ac:dyDescent="0.25">
      <c r="A4476" s="2" t="s">
        <v>4346</v>
      </c>
      <c r="B4476" s="1">
        <v>15873</v>
      </c>
      <c r="C4476" t="s">
        <v>4347</v>
      </c>
      <c r="D4476" t="s">
        <v>4348</v>
      </c>
    </row>
    <row r="4477" spans="1:4" x14ac:dyDescent="0.25">
      <c r="A4477" s="2" t="s">
        <v>4349</v>
      </c>
      <c r="B4477" s="1">
        <v>15909</v>
      </c>
      <c r="C4477" t="s">
        <v>4347</v>
      </c>
      <c r="D4477" t="s">
        <v>4348</v>
      </c>
    </row>
    <row r="4478" spans="1:4" x14ac:dyDescent="0.25">
      <c r="A4478" s="2" t="s">
        <v>4350</v>
      </c>
      <c r="B4478" s="1">
        <v>15934</v>
      </c>
      <c r="C4478" t="s">
        <v>4347</v>
      </c>
      <c r="D4478" t="s">
        <v>4348</v>
      </c>
    </row>
    <row r="4479" spans="1:4" x14ac:dyDescent="0.25">
      <c r="A4479" s="2" t="s">
        <v>4351</v>
      </c>
      <c r="B4479" s="1">
        <v>15923</v>
      </c>
      <c r="C4479" t="s">
        <v>4347</v>
      </c>
      <c r="D4479" t="s">
        <v>4348</v>
      </c>
    </row>
    <row r="4480" spans="1:4" x14ac:dyDescent="0.25">
      <c r="A4480" s="2" t="s">
        <v>4352</v>
      </c>
      <c r="B4480" s="1">
        <v>15907</v>
      </c>
      <c r="C4480" t="s">
        <v>4347</v>
      </c>
      <c r="D4480" t="s">
        <v>4348</v>
      </c>
    </row>
    <row r="4481" spans="1:4" x14ac:dyDescent="0.25">
      <c r="A4481" s="2" t="s">
        <v>4353</v>
      </c>
      <c r="B4481" s="1">
        <v>15907</v>
      </c>
      <c r="C4481" t="s">
        <v>4347</v>
      </c>
      <c r="D4481" t="s">
        <v>4348</v>
      </c>
    </row>
    <row r="4482" spans="1:4" x14ac:dyDescent="0.25">
      <c r="A4482" s="2" t="s">
        <v>4354</v>
      </c>
      <c r="B4482" s="1">
        <v>15907</v>
      </c>
      <c r="C4482" t="s">
        <v>4347</v>
      </c>
      <c r="D4482" t="s">
        <v>4348</v>
      </c>
    </row>
    <row r="4483" spans="1:4" x14ac:dyDescent="0.25">
      <c r="A4483" s="2" t="s">
        <v>4355</v>
      </c>
      <c r="B4483" s="1">
        <v>15907</v>
      </c>
      <c r="C4483" t="s">
        <v>4347</v>
      </c>
      <c r="D4483" t="s">
        <v>4348</v>
      </c>
    </row>
    <row r="4484" spans="1:4" x14ac:dyDescent="0.25">
      <c r="A4484" s="2" t="s">
        <v>4356</v>
      </c>
      <c r="B4484" s="1">
        <v>15907</v>
      </c>
      <c r="C4484" t="s">
        <v>4347</v>
      </c>
      <c r="D4484" t="s">
        <v>4348</v>
      </c>
    </row>
    <row r="4485" spans="1:4" x14ac:dyDescent="0.25">
      <c r="A4485" s="2" t="s">
        <v>4357</v>
      </c>
      <c r="B4485" s="1">
        <v>15907</v>
      </c>
      <c r="C4485" t="s">
        <v>4347</v>
      </c>
      <c r="D4485" t="s">
        <v>4348</v>
      </c>
    </row>
    <row r="4486" spans="1:4" x14ac:dyDescent="0.25">
      <c r="A4486" s="2" t="s">
        <v>4358</v>
      </c>
      <c r="B4486" s="1">
        <v>15907</v>
      </c>
      <c r="C4486" t="s">
        <v>4347</v>
      </c>
      <c r="D4486" t="s">
        <v>4348</v>
      </c>
    </row>
    <row r="4487" spans="1:4" x14ac:dyDescent="0.25">
      <c r="A4487" s="2" t="s">
        <v>4359</v>
      </c>
      <c r="B4487" s="1">
        <v>15907</v>
      </c>
      <c r="C4487" t="s">
        <v>4347</v>
      </c>
      <c r="D4487" t="s">
        <v>4348</v>
      </c>
    </row>
    <row r="4488" spans="1:4" x14ac:dyDescent="0.25">
      <c r="A4488" s="2" t="s">
        <v>4360</v>
      </c>
      <c r="B4488" s="1">
        <v>15907</v>
      </c>
      <c r="C4488" t="s">
        <v>4347</v>
      </c>
      <c r="D4488" t="s">
        <v>4348</v>
      </c>
    </row>
    <row r="4489" spans="1:4" x14ac:dyDescent="0.25">
      <c r="A4489" s="2" t="s">
        <v>4361</v>
      </c>
      <c r="B4489" s="1">
        <v>15907</v>
      </c>
      <c r="C4489" t="s">
        <v>4347</v>
      </c>
      <c r="D4489" t="s">
        <v>4348</v>
      </c>
    </row>
    <row r="4490" spans="1:4" x14ac:dyDescent="0.25">
      <c r="A4490" s="2" t="s">
        <v>4362</v>
      </c>
      <c r="B4490" s="1">
        <v>15907</v>
      </c>
      <c r="C4490" t="s">
        <v>4347</v>
      </c>
      <c r="D4490" t="s">
        <v>4348</v>
      </c>
    </row>
    <row r="4491" spans="1:4" x14ac:dyDescent="0.25">
      <c r="A4491" s="2" t="s">
        <v>4363</v>
      </c>
      <c r="B4491" s="1">
        <v>15873</v>
      </c>
      <c r="C4491" t="s">
        <v>4347</v>
      </c>
      <c r="D4491" t="s">
        <v>4348</v>
      </c>
    </row>
    <row r="4492" spans="1:4" x14ac:dyDescent="0.25">
      <c r="A4492" s="2" t="s">
        <v>4364</v>
      </c>
      <c r="B4492" s="1">
        <v>16176</v>
      </c>
      <c r="C4492" t="s">
        <v>4347</v>
      </c>
      <c r="D4492" t="s">
        <v>4348</v>
      </c>
    </row>
    <row r="4493" spans="1:4" x14ac:dyDescent="0.25">
      <c r="A4493" s="2" t="s">
        <v>4365</v>
      </c>
      <c r="B4493" s="1">
        <v>16240</v>
      </c>
      <c r="C4493" t="s">
        <v>4347</v>
      </c>
      <c r="D4493" t="s">
        <v>4348</v>
      </c>
    </row>
    <row r="4494" spans="1:4" x14ac:dyDescent="0.25">
      <c r="A4494" s="2" t="s">
        <v>4366</v>
      </c>
      <c r="B4494" s="1">
        <v>16177</v>
      </c>
      <c r="C4494" t="s">
        <v>4347</v>
      </c>
      <c r="D4494" t="s">
        <v>4348</v>
      </c>
    </row>
    <row r="4495" spans="1:4" x14ac:dyDescent="0.25">
      <c r="A4495" s="2" t="s">
        <v>4367</v>
      </c>
      <c r="B4495" s="1">
        <v>16177</v>
      </c>
      <c r="C4495" t="s">
        <v>4347</v>
      </c>
      <c r="D4495" t="s">
        <v>4348</v>
      </c>
    </row>
    <row r="4496" spans="1:4" x14ac:dyDescent="0.25">
      <c r="A4496" s="2" t="s">
        <v>4368</v>
      </c>
      <c r="B4496" s="1">
        <v>16177</v>
      </c>
      <c r="C4496" t="s">
        <v>4347</v>
      </c>
      <c r="D4496" t="s">
        <v>4348</v>
      </c>
    </row>
    <row r="4497" spans="1:4" x14ac:dyDescent="0.25">
      <c r="A4497" s="2" t="s">
        <v>4369</v>
      </c>
      <c r="B4497" s="1">
        <v>16280</v>
      </c>
      <c r="C4497" t="s">
        <v>4347</v>
      </c>
      <c r="D4497" t="s">
        <v>4348</v>
      </c>
    </row>
    <row r="4498" spans="1:4" x14ac:dyDescent="0.25">
      <c r="A4498" s="2" t="s">
        <v>4370</v>
      </c>
      <c r="B4498" s="1">
        <v>16224</v>
      </c>
      <c r="C4498" t="s">
        <v>4347</v>
      </c>
      <c r="D4498" t="s">
        <v>4348</v>
      </c>
    </row>
    <row r="4499" spans="1:4" x14ac:dyDescent="0.25">
      <c r="A4499" s="2" t="s">
        <v>4371</v>
      </c>
      <c r="B4499" s="1">
        <v>16244</v>
      </c>
      <c r="C4499" t="s">
        <v>4347</v>
      </c>
      <c r="D4499" t="s">
        <v>4348</v>
      </c>
    </row>
    <row r="4500" spans="1:4" x14ac:dyDescent="0.25">
      <c r="A4500" s="2" t="s">
        <v>4372</v>
      </c>
      <c r="B4500" s="1">
        <v>16161</v>
      </c>
      <c r="C4500" t="s">
        <v>4347</v>
      </c>
      <c r="D4500" t="s">
        <v>4348</v>
      </c>
    </row>
    <row r="4501" spans="1:4" x14ac:dyDescent="0.25">
      <c r="A4501" s="2" t="s">
        <v>4373</v>
      </c>
      <c r="B4501" s="1">
        <v>16208</v>
      </c>
      <c r="C4501" t="s">
        <v>4347</v>
      </c>
      <c r="D4501" t="s">
        <v>4348</v>
      </c>
    </row>
    <row r="4502" spans="1:4" x14ac:dyDescent="0.25">
      <c r="A4502" s="2" t="s">
        <v>4374</v>
      </c>
      <c r="B4502" s="1">
        <v>16208</v>
      </c>
      <c r="C4502" t="s">
        <v>4347</v>
      </c>
      <c r="D4502" t="s">
        <v>4348</v>
      </c>
    </row>
    <row r="4503" spans="1:4" x14ac:dyDescent="0.25">
      <c r="A4503" s="2" t="s">
        <v>4375</v>
      </c>
      <c r="B4503" s="1">
        <v>16208</v>
      </c>
      <c r="C4503" t="s">
        <v>4347</v>
      </c>
      <c r="D4503" t="s">
        <v>4348</v>
      </c>
    </row>
    <row r="4504" spans="1:4" x14ac:dyDescent="0.25">
      <c r="A4504" s="2" t="s">
        <v>4376</v>
      </c>
      <c r="B4504" s="1">
        <v>16222</v>
      </c>
      <c r="C4504" t="s">
        <v>4347</v>
      </c>
      <c r="D4504" t="s">
        <v>4348</v>
      </c>
    </row>
    <row r="4505" spans="1:4" x14ac:dyDescent="0.25">
      <c r="A4505" s="2" t="s">
        <v>4377</v>
      </c>
      <c r="B4505" s="1">
        <v>16249</v>
      </c>
      <c r="C4505" t="s">
        <v>4347</v>
      </c>
      <c r="D4505" t="s">
        <v>4348</v>
      </c>
    </row>
    <row r="4506" spans="1:4" x14ac:dyDescent="0.25">
      <c r="A4506" s="2" t="s">
        <v>4378</v>
      </c>
      <c r="B4506" s="1">
        <v>16249</v>
      </c>
      <c r="C4506" t="s">
        <v>4379</v>
      </c>
      <c r="D4506" t="s">
        <v>4348</v>
      </c>
    </row>
    <row r="4507" spans="1:4" x14ac:dyDescent="0.25">
      <c r="A4507" s="2" t="s">
        <v>4380</v>
      </c>
      <c r="B4507" s="1">
        <v>16276</v>
      </c>
      <c r="C4507" t="s">
        <v>4379</v>
      </c>
      <c r="D4507" t="s">
        <v>4348</v>
      </c>
    </row>
    <row r="4508" spans="1:4" x14ac:dyDescent="0.25">
      <c r="A4508" s="2" t="s">
        <v>4381</v>
      </c>
      <c r="B4508" s="1">
        <v>16202</v>
      </c>
      <c r="C4508" t="s">
        <v>4379</v>
      </c>
      <c r="D4508" t="s">
        <v>4348</v>
      </c>
    </row>
    <row r="4509" spans="1:4" x14ac:dyDescent="0.25">
      <c r="A4509" s="2" t="s">
        <v>4382</v>
      </c>
      <c r="B4509" s="1">
        <v>16202</v>
      </c>
      <c r="C4509" t="s">
        <v>4379</v>
      </c>
      <c r="D4509" t="s">
        <v>4348</v>
      </c>
    </row>
    <row r="4510" spans="1:4" x14ac:dyDescent="0.25">
      <c r="A4510" s="2" t="s">
        <v>4383</v>
      </c>
      <c r="B4510" s="1">
        <v>16202</v>
      </c>
      <c r="C4510" t="s">
        <v>4379</v>
      </c>
      <c r="D4510" t="s">
        <v>4348</v>
      </c>
    </row>
    <row r="4511" spans="1:4" x14ac:dyDescent="0.25">
      <c r="A4511" s="2" t="s">
        <v>4384</v>
      </c>
      <c r="B4511" s="1">
        <v>16094</v>
      </c>
      <c r="C4511" t="s">
        <v>4379</v>
      </c>
      <c r="D4511" t="s">
        <v>4348</v>
      </c>
    </row>
    <row r="4512" spans="1:4" x14ac:dyDescent="0.25">
      <c r="A4512" s="2" t="s">
        <v>4385</v>
      </c>
      <c r="B4512" s="1">
        <v>16025</v>
      </c>
      <c r="C4512" t="s">
        <v>4379</v>
      </c>
      <c r="D4512" t="s">
        <v>4348</v>
      </c>
    </row>
    <row r="4513" spans="1:4" x14ac:dyDescent="0.25">
      <c r="A4513" s="2" t="s">
        <v>4386</v>
      </c>
      <c r="B4513" s="1">
        <v>16054</v>
      </c>
      <c r="C4513" t="s">
        <v>4379</v>
      </c>
      <c r="D4513" t="s">
        <v>4348</v>
      </c>
    </row>
    <row r="4514" spans="1:4" x14ac:dyDescent="0.25">
      <c r="A4514" s="2" t="s">
        <v>4387</v>
      </c>
      <c r="B4514" s="1">
        <v>16054</v>
      </c>
      <c r="C4514" t="s">
        <v>4379</v>
      </c>
      <c r="D4514" t="s">
        <v>4348</v>
      </c>
    </row>
    <row r="4515" spans="1:4" x14ac:dyDescent="0.25">
      <c r="A4515" s="2" t="s">
        <v>4388</v>
      </c>
      <c r="B4515" s="1">
        <v>16054</v>
      </c>
      <c r="C4515" t="s">
        <v>4379</v>
      </c>
      <c r="D4515" t="s">
        <v>4348</v>
      </c>
    </row>
    <row r="4516" spans="1:4" x14ac:dyDescent="0.25">
      <c r="A4516" s="2" t="s">
        <v>4389</v>
      </c>
      <c r="B4516" s="1">
        <v>16054</v>
      </c>
      <c r="C4516" t="s">
        <v>4379</v>
      </c>
      <c r="D4516" t="s">
        <v>4348</v>
      </c>
    </row>
    <row r="4517" spans="1:4" x14ac:dyDescent="0.25">
      <c r="A4517" s="2" t="s">
        <v>4390</v>
      </c>
      <c r="B4517" s="1">
        <v>16054</v>
      </c>
      <c r="C4517" t="s">
        <v>4379</v>
      </c>
      <c r="D4517" t="s">
        <v>4348</v>
      </c>
    </row>
    <row r="4518" spans="1:4" x14ac:dyDescent="0.25">
      <c r="A4518" s="2" t="s">
        <v>4391</v>
      </c>
      <c r="B4518" s="1">
        <v>16081</v>
      </c>
      <c r="C4518" t="s">
        <v>4379</v>
      </c>
      <c r="D4518" t="s">
        <v>4348</v>
      </c>
    </row>
    <row r="4519" spans="1:4" x14ac:dyDescent="0.25">
      <c r="A4519" s="2" t="s">
        <v>4392</v>
      </c>
      <c r="B4519" s="1">
        <v>16085</v>
      </c>
      <c r="C4519" t="s">
        <v>4379</v>
      </c>
      <c r="D4519" t="s">
        <v>4348</v>
      </c>
    </row>
    <row r="4520" spans="1:4" x14ac:dyDescent="0.25">
      <c r="A4520" s="2" t="s">
        <v>4393</v>
      </c>
      <c r="B4520" s="1">
        <v>16131</v>
      </c>
      <c r="C4520" t="s">
        <v>4379</v>
      </c>
      <c r="D4520" t="s">
        <v>4348</v>
      </c>
    </row>
    <row r="4521" spans="1:4" x14ac:dyDescent="0.25">
      <c r="A4521" s="2" t="s">
        <v>4394</v>
      </c>
      <c r="B4521" s="1">
        <v>16070</v>
      </c>
      <c r="C4521" t="s">
        <v>4379</v>
      </c>
      <c r="D4521" t="s">
        <v>4348</v>
      </c>
    </row>
    <row r="4522" spans="1:4" x14ac:dyDescent="0.25">
      <c r="A4522" s="2" t="s">
        <v>4395</v>
      </c>
      <c r="B4522" s="1">
        <v>15944</v>
      </c>
      <c r="C4522" t="s">
        <v>4379</v>
      </c>
      <c r="D4522" t="s">
        <v>4348</v>
      </c>
    </row>
    <row r="4523" spans="1:4" x14ac:dyDescent="0.25">
      <c r="A4523" s="2" t="s">
        <v>4396</v>
      </c>
      <c r="B4523" s="1">
        <v>15944</v>
      </c>
      <c r="C4523" t="s">
        <v>4379</v>
      </c>
      <c r="D4523" t="s">
        <v>4348</v>
      </c>
    </row>
    <row r="4524" spans="1:4" x14ac:dyDescent="0.25">
      <c r="A4524" s="2" t="s">
        <v>4397</v>
      </c>
      <c r="B4524" s="1">
        <v>15944</v>
      </c>
      <c r="C4524" t="s">
        <v>4379</v>
      </c>
      <c r="D4524" t="s">
        <v>4348</v>
      </c>
    </row>
    <row r="4525" spans="1:4" x14ac:dyDescent="0.25">
      <c r="A4525" s="2" t="s">
        <v>4398</v>
      </c>
      <c r="B4525" s="1">
        <v>15978</v>
      </c>
      <c r="C4525" t="s">
        <v>4379</v>
      </c>
      <c r="D4525" t="s">
        <v>4348</v>
      </c>
    </row>
    <row r="4526" spans="1:4" x14ac:dyDescent="0.25">
      <c r="A4526" s="2" t="s">
        <v>4399</v>
      </c>
      <c r="B4526" s="1">
        <v>15980</v>
      </c>
      <c r="C4526" t="s">
        <v>4379</v>
      </c>
      <c r="D4526" t="s">
        <v>4348</v>
      </c>
    </row>
    <row r="4527" spans="1:4" x14ac:dyDescent="0.25">
      <c r="A4527" s="2" t="s">
        <v>4400</v>
      </c>
      <c r="B4527" s="1">
        <v>16024</v>
      </c>
      <c r="C4527" t="s">
        <v>4379</v>
      </c>
      <c r="D4527" t="s">
        <v>4348</v>
      </c>
    </row>
    <row r="4528" spans="1:4" x14ac:dyDescent="0.25">
      <c r="A4528" s="2" t="s">
        <v>4401</v>
      </c>
      <c r="B4528" s="1">
        <v>16024</v>
      </c>
      <c r="C4528" t="s">
        <v>4379</v>
      </c>
      <c r="D4528" t="s">
        <v>4348</v>
      </c>
    </row>
    <row r="4529" spans="1:4" x14ac:dyDescent="0.25">
      <c r="A4529" s="2" t="s">
        <v>4402</v>
      </c>
      <c r="B4529" s="1">
        <v>16024</v>
      </c>
      <c r="C4529" t="s">
        <v>4379</v>
      </c>
      <c r="D4529" t="s">
        <v>4348</v>
      </c>
    </row>
    <row r="4530" spans="1:4" x14ac:dyDescent="0.25">
      <c r="A4530" s="2" t="s">
        <v>4403</v>
      </c>
      <c r="B4530" s="1">
        <v>16024</v>
      </c>
      <c r="C4530" t="s">
        <v>4379</v>
      </c>
      <c r="D4530" t="s">
        <v>4348</v>
      </c>
    </row>
    <row r="4531" spans="1:4" x14ac:dyDescent="0.25">
      <c r="A4531" s="2" t="s">
        <v>4404</v>
      </c>
      <c r="B4531" s="1">
        <v>16024</v>
      </c>
      <c r="C4531" t="s">
        <v>4379</v>
      </c>
      <c r="D4531" t="s">
        <v>4348</v>
      </c>
    </row>
    <row r="4532" spans="1:4" x14ac:dyDescent="0.25">
      <c r="A4532" s="2" t="s">
        <v>4405</v>
      </c>
      <c r="B4532" s="1">
        <v>15995</v>
      </c>
      <c r="C4532" t="s">
        <v>4379</v>
      </c>
      <c r="D4532" t="s">
        <v>4348</v>
      </c>
    </row>
    <row r="4533" spans="1:4" x14ac:dyDescent="0.25">
      <c r="A4533" s="2" t="s">
        <v>4406</v>
      </c>
      <c r="B4533" s="1">
        <v>16064</v>
      </c>
      <c r="C4533" t="s">
        <v>4379</v>
      </c>
      <c r="D4533" t="s">
        <v>4348</v>
      </c>
    </row>
    <row r="4534" spans="1:4" x14ac:dyDescent="0.25">
      <c r="A4534" s="2" t="s">
        <v>4407</v>
      </c>
      <c r="B4534" s="1">
        <v>16095</v>
      </c>
      <c r="C4534" t="s">
        <v>4379</v>
      </c>
      <c r="D4534" t="s">
        <v>4348</v>
      </c>
    </row>
    <row r="4535" spans="1:4" x14ac:dyDescent="0.25">
      <c r="A4535" s="2" t="s">
        <v>4408</v>
      </c>
      <c r="B4535" s="1">
        <v>16160</v>
      </c>
      <c r="C4535" t="s">
        <v>4379</v>
      </c>
      <c r="D4535" t="s">
        <v>4348</v>
      </c>
    </row>
    <row r="4536" spans="1:4" x14ac:dyDescent="0.25">
      <c r="A4536" s="2" t="s">
        <v>4409</v>
      </c>
      <c r="B4536" s="1">
        <v>16253</v>
      </c>
      <c r="C4536" t="s">
        <v>4379</v>
      </c>
      <c r="D4536" t="s">
        <v>4348</v>
      </c>
    </row>
    <row r="4537" spans="1:4" x14ac:dyDescent="0.25">
      <c r="A4537" s="2" t="s">
        <v>4410</v>
      </c>
      <c r="B4537" s="1">
        <v>16253</v>
      </c>
      <c r="C4537" t="s">
        <v>4411</v>
      </c>
      <c r="D4537" t="s">
        <v>4348</v>
      </c>
    </row>
    <row r="4538" spans="1:4" x14ac:dyDescent="0.25">
      <c r="A4538" s="2" t="s">
        <v>4412</v>
      </c>
      <c r="B4538" s="1">
        <v>16253</v>
      </c>
      <c r="C4538" t="s">
        <v>4411</v>
      </c>
      <c r="D4538" t="s">
        <v>4348</v>
      </c>
    </row>
    <row r="4539" spans="1:4" x14ac:dyDescent="0.25">
      <c r="A4539" s="2" t="s">
        <v>4413</v>
      </c>
      <c r="B4539" s="1">
        <v>16251</v>
      </c>
      <c r="C4539" t="s">
        <v>4411</v>
      </c>
      <c r="D4539" t="s">
        <v>4348</v>
      </c>
    </row>
    <row r="4540" spans="1:4" x14ac:dyDescent="0.25">
      <c r="A4540" s="2" t="s">
        <v>4414</v>
      </c>
      <c r="B4540" s="1">
        <v>16225</v>
      </c>
      <c r="C4540" t="s">
        <v>4411</v>
      </c>
      <c r="D4540" t="s">
        <v>4348</v>
      </c>
    </row>
    <row r="4541" spans="1:4" x14ac:dyDescent="0.25">
      <c r="A4541" s="2" t="s">
        <v>4415</v>
      </c>
      <c r="B4541" s="1">
        <v>16220</v>
      </c>
      <c r="C4541" t="s">
        <v>4411</v>
      </c>
      <c r="D4541" t="s">
        <v>4348</v>
      </c>
    </row>
    <row r="4542" spans="1:4" x14ac:dyDescent="0.25">
      <c r="A4542" s="2" t="s">
        <v>4416</v>
      </c>
      <c r="B4542" s="1">
        <v>16282</v>
      </c>
      <c r="C4542" t="s">
        <v>4411</v>
      </c>
      <c r="D4542" t="s">
        <v>4348</v>
      </c>
    </row>
    <row r="4543" spans="1:4" x14ac:dyDescent="0.25">
      <c r="A4543" s="2" t="s">
        <v>4417</v>
      </c>
      <c r="B4543" s="1">
        <v>16279</v>
      </c>
      <c r="C4543" t="s">
        <v>4411</v>
      </c>
      <c r="D4543" t="s">
        <v>4348</v>
      </c>
    </row>
    <row r="4544" spans="1:4" x14ac:dyDescent="0.25">
      <c r="A4544" s="2" t="s">
        <v>4418</v>
      </c>
      <c r="B4544" s="1">
        <v>16279</v>
      </c>
      <c r="C4544" t="s">
        <v>4411</v>
      </c>
      <c r="D4544" t="s">
        <v>4348</v>
      </c>
    </row>
    <row r="4545" spans="1:4" x14ac:dyDescent="0.25">
      <c r="A4545" s="2" t="s">
        <v>4419</v>
      </c>
      <c r="B4545" s="1">
        <v>16279</v>
      </c>
      <c r="C4545" t="s">
        <v>4411</v>
      </c>
      <c r="D4545" t="s">
        <v>4348</v>
      </c>
    </row>
    <row r="4546" spans="1:4" x14ac:dyDescent="0.25">
      <c r="A4546" s="2" t="s">
        <v>4420</v>
      </c>
      <c r="B4546" s="1">
        <v>16218</v>
      </c>
      <c r="C4546" t="s">
        <v>4411</v>
      </c>
      <c r="D4546" t="s">
        <v>4348</v>
      </c>
    </row>
    <row r="4547" spans="1:4" x14ac:dyDescent="0.25">
      <c r="A4547" s="2" t="s">
        <v>4421</v>
      </c>
      <c r="B4547" s="1">
        <v>16290</v>
      </c>
      <c r="C4547" t="s">
        <v>4411</v>
      </c>
      <c r="D4547" t="s">
        <v>4348</v>
      </c>
    </row>
    <row r="4548" spans="1:4" x14ac:dyDescent="0.25">
      <c r="A4548" s="2" t="s">
        <v>4422</v>
      </c>
      <c r="B4548" s="1">
        <v>16295</v>
      </c>
      <c r="C4548" t="s">
        <v>4411</v>
      </c>
      <c r="D4548" t="s">
        <v>4348</v>
      </c>
    </row>
    <row r="4549" spans="1:4" x14ac:dyDescent="0.25">
      <c r="A4549" s="2" t="s">
        <v>4423</v>
      </c>
      <c r="B4549" s="1">
        <v>16297</v>
      </c>
      <c r="C4549" t="s">
        <v>4411</v>
      </c>
      <c r="D4549" t="s">
        <v>4348</v>
      </c>
    </row>
    <row r="4550" spans="1:4" x14ac:dyDescent="0.25">
      <c r="A4550" s="2" t="s">
        <v>4424</v>
      </c>
      <c r="B4550" s="1">
        <v>16286</v>
      </c>
      <c r="C4550" t="s">
        <v>4411</v>
      </c>
      <c r="D4550" t="s">
        <v>4348</v>
      </c>
    </row>
    <row r="4551" spans="1:4" x14ac:dyDescent="0.25">
      <c r="A4551" s="2" t="s">
        <v>4425</v>
      </c>
      <c r="B4551" s="1">
        <v>16286</v>
      </c>
      <c r="C4551" t="s">
        <v>4411</v>
      </c>
      <c r="D4551" t="s">
        <v>4348</v>
      </c>
    </row>
    <row r="4552" spans="1:4" x14ac:dyDescent="0.25">
      <c r="A4552" s="2" t="s">
        <v>4426</v>
      </c>
      <c r="B4552" s="1">
        <v>16286</v>
      </c>
      <c r="C4552" t="s">
        <v>4411</v>
      </c>
      <c r="D4552" t="s">
        <v>4348</v>
      </c>
    </row>
    <row r="4553" spans="1:4" x14ac:dyDescent="0.25">
      <c r="A4553" s="2" t="s">
        <v>4427</v>
      </c>
      <c r="B4553" s="1">
        <v>16286</v>
      </c>
      <c r="C4553" t="s">
        <v>4411</v>
      </c>
      <c r="D4553" t="s">
        <v>4348</v>
      </c>
    </row>
    <row r="4554" spans="1:4" x14ac:dyDescent="0.25">
      <c r="A4554" s="2" t="s">
        <v>4428</v>
      </c>
      <c r="B4554" s="1">
        <v>16286</v>
      </c>
      <c r="C4554" t="s">
        <v>4411</v>
      </c>
      <c r="D4554" t="s">
        <v>4348</v>
      </c>
    </row>
    <row r="4555" spans="1:4" x14ac:dyDescent="0.25">
      <c r="A4555" s="2" t="s">
        <v>4429</v>
      </c>
      <c r="B4555" s="1">
        <v>16374</v>
      </c>
      <c r="C4555" t="s">
        <v>4411</v>
      </c>
      <c r="D4555" t="s">
        <v>4348</v>
      </c>
    </row>
    <row r="4556" spans="1:4" x14ac:dyDescent="0.25">
      <c r="A4556" s="2" t="s">
        <v>4430</v>
      </c>
      <c r="B4556" s="1">
        <v>16368</v>
      </c>
      <c r="C4556" t="s">
        <v>4411</v>
      </c>
      <c r="D4556" t="s">
        <v>4348</v>
      </c>
    </row>
    <row r="4557" spans="1:4" x14ac:dyDescent="0.25">
      <c r="A4557" s="2" t="s">
        <v>4431</v>
      </c>
      <c r="B4557" s="1">
        <v>16420</v>
      </c>
      <c r="C4557" t="s">
        <v>4411</v>
      </c>
      <c r="D4557" t="s">
        <v>4348</v>
      </c>
    </row>
    <row r="4558" spans="1:4" x14ac:dyDescent="0.25">
      <c r="A4558" s="2" t="s">
        <v>4432</v>
      </c>
      <c r="B4558" s="1">
        <v>16420</v>
      </c>
      <c r="C4558" t="s">
        <v>4411</v>
      </c>
      <c r="D4558" t="s">
        <v>4348</v>
      </c>
    </row>
    <row r="4559" spans="1:4" x14ac:dyDescent="0.25">
      <c r="A4559" s="2" t="s">
        <v>4433</v>
      </c>
      <c r="B4559" s="1">
        <v>16420</v>
      </c>
      <c r="C4559" t="s">
        <v>4411</v>
      </c>
      <c r="D4559" t="s">
        <v>4348</v>
      </c>
    </row>
    <row r="4560" spans="1:4" x14ac:dyDescent="0.25">
      <c r="A4560" s="2" t="s">
        <v>4434</v>
      </c>
      <c r="B4560" s="1">
        <v>16458</v>
      </c>
      <c r="C4560" t="s">
        <v>4411</v>
      </c>
      <c r="D4560" t="s">
        <v>4348</v>
      </c>
    </row>
    <row r="4561" spans="1:4" x14ac:dyDescent="0.25">
      <c r="A4561" s="2" t="s">
        <v>4435</v>
      </c>
      <c r="B4561" s="1">
        <v>16431</v>
      </c>
      <c r="C4561" t="s">
        <v>4411</v>
      </c>
      <c r="D4561" t="s">
        <v>4348</v>
      </c>
    </row>
    <row r="4562" spans="1:4" x14ac:dyDescent="0.25">
      <c r="A4562" s="2" t="s">
        <v>4436</v>
      </c>
      <c r="B4562" s="1">
        <v>16379</v>
      </c>
      <c r="C4562" t="s">
        <v>4411</v>
      </c>
      <c r="D4562" t="s">
        <v>4348</v>
      </c>
    </row>
    <row r="4563" spans="1:4" x14ac:dyDescent="0.25">
      <c r="A4563" s="2" t="s">
        <v>4437</v>
      </c>
      <c r="B4563" s="1">
        <v>16435</v>
      </c>
      <c r="C4563" t="s">
        <v>4411</v>
      </c>
      <c r="D4563" t="s">
        <v>4348</v>
      </c>
    </row>
    <row r="4564" spans="1:4" x14ac:dyDescent="0.25">
      <c r="A4564" s="2" t="s">
        <v>4438</v>
      </c>
      <c r="B4564" s="1">
        <v>16421</v>
      </c>
      <c r="C4564" t="s">
        <v>4411</v>
      </c>
      <c r="D4564" t="s">
        <v>4348</v>
      </c>
    </row>
    <row r="4565" spans="1:4" x14ac:dyDescent="0.25">
      <c r="A4565" s="2" t="s">
        <v>4439</v>
      </c>
      <c r="B4565" s="1">
        <v>16421</v>
      </c>
      <c r="C4565" t="s">
        <v>4411</v>
      </c>
      <c r="D4565" t="s">
        <v>4348</v>
      </c>
    </row>
    <row r="4566" spans="1:4" x14ac:dyDescent="0.25">
      <c r="A4566" s="2" t="s">
        <v>4440</v>
      </c>
      <c r="B4566" s="1">
        <v>16421</v>
      </c>
      <c r="C4566" t="s">
        <v>4411</v>
      </c>
      <c r="D4566" t="s">
        <v>4348</v>
      </c>
    </row>
    <row r="4567" spans="1:4" x14ac:dyDescent="0.25">
      <c r="A4567" s="2" t="s">
        <v>4441</v>
      </c>
      <c r="B4567" s="1">
        <v>16394</v>
      </c>
      <c r="C4567" t="s">
        <v>4442</v>
      </c>
      <c r="D4567" t="s">
        <v>4443</v>
      </c>
    </row>
    <row r="4568" spans="1:4" x14ac:dyDescent="0.25">
      <c r="A4568" s="2" t="s">
        <v>4444</v>
      </c>
      <c r="B4568" s="1">
        <v>16355</v>
      </c>
      <c r="C4568" t="s">
        <v>4442</v>
      </c>
      <c r="D4568" t="s">
        <v>4443</v>
      </c>
    </row>
    <row r="4569" spans="1:4" x14ac:dyDescent="0.25">
      <c r="A4569" s="2" t="s">
        <v>4445</v>
      </c>
      <c r="B4569" s="1">
        <v>16384</v>
      </c>
      <c r="C4569" t="s">
        <v>4442</v>
      </c>
      <c r="D4569" t="s">
        <v>4443</v>
      </c>
    </row>
    <row r="4570" spans="1:4" x14ac:dyDescent="0.25">
      <c r="A4570" s="2" t="s">
        <v>4446</v>
      </c>
      <c r="B4570" s="1">
        <v>16387</v>
      </c>
      <c r="C4570" t="s">
        <v>4442</v>
      </c>
      <c r="D4570" t="s">
        <v>4443</v>
      </c>
    </row>
    <row r="4571" spans="1:4" x14ac:dyDescent="0.25">
      <c r="A4571" s="2" t="s">
        <v>4447</v>
      </c>
      <c r="B4571" s="1">
        <v>16341</v>
      </c>
      <c r="C4571" t="s">
        <v>4442</v>
      </c>
      <c r="D4571" t="s">
        <v>4443</v>
      </c>
    </row>
    <row r="4572" spans="1:4" x14ac:dyDescent="0.25">
      <c r="A4572" s="2" t="s">
        <v>4448</v>
      </c>
      <c r="B4572" s="1">
        <v>16341</v>
      </c>
      <c r="C4572" t="s">
        <v>4442</v>
      </c>
      <c r="D4572" t="s">
        <v>4443</v>
      </c>
    </row>
    <row r="4573" spans="1:4" x14ac:dyDescent="0.25">
      <c r="A4573" s="2" t="s">
        <v>4449</v>
      </c>
      <c r="B4573" s="1">
        <v>16341</v>
      </c>
      <c r="C4573" t="s">
        <v>4442</v>
      </c>
      <c r="D4573" t="s">
        <v>4443</v>
      </c>
    </row>
    <row r="4574" spans="1:4" x14ac:dyDescent="0.25">
      <c r="A4574" s="2" t="s">
        <v>4450</v>
      </c>
      <c r="B4574" s="1">
        <v>16312</v>
      </c>
      <c r="C4574" t="s">
        <v>4442</v>
      </c>
      <c r="D4574" t="s">
        <v>4443</v>
      </c>
    </row>
    <row r="4575" spans="1:4" x14ac:dyDescent="0.25">
      <c r="A4575" s="2" t="s">
        <v>4451</v>
      </c>
      <c r="B4575" s="1">
        <v>16265</v>
      </c>
      <c r="C4575" t="s">
        <v>4442</v>
      </c>
      <c r="D4575" t="s">
        <v>4443</v>
      </c>
    </row>
    <row r="4576" spans="1:4" x14ac:dyDescent="0.25">
      <c r="A4576" s="2" t="s">
        <v>4452</v>
      </c>
      <c r="B4576" s="1">
        <v>16281</v>
      </c>
      <c r="C4576" t="s">
        <v>4442</v>
      </c>
      <c r="D4576" t="s">
        <v>4443</v>
      </c>
    </row>
    <row r="4577" spans="1:4" x14ac:dyDescent="0.25">
      <c r="A4577" s="2" t="s">
        <v>4453</v>
      </c>
      <c r="B4577" s="1">
        <v>16256</v>
      </c>
      <c r="C4577" t="s">
        <v>4442</v>
      </c>
      <c r="D4577" t="s">
        <v>4443</v>
      </c>
    </row>
    <row r="4578" spans="1:4" x14ac:dyDescent="0.25">
      <c r="A4578" s="2" t="s">
        <v>4454</v>
      </c>
      <c r="B4578" s="1">
        <v>16200</v>
      </c>
      <c r="C4578" t="s">
        <v>4442</v>
      </c>
      <c r="D4578" t="s">
        <v>4443</v>
      </c>
    </row>
    <row r="4579" spans="1:4" x14ac:dyDescent="0.25">
      <c r="A4579" s="2" t="s">
        <v>4455</v>
      </c>
      <c r="B4579" s="1">
        <v>16200</v>
      </c>
      <c r="C4579" t="s">
        <v>4442</v>
      </c>
      <c r="D4579" t="s">
        <v>4443</v>
      </c>
    </row>
    <row r="4580" spans="1:4" x14ac:dyDescent="0.25">
      <c r="A4580" s="2" t="s">
        <v>4456</v>
      </c>
      <c r="B4580" s="1">
        <v>16200</v>
      </c>
      <c r="C4580" t="s">
        <v>4442</v>
      </c>
      <c r="D4580" t="s">
        <v>4443</v>
      </c>
    </row>
    <row r="4581" spans="1:4" x14ac:dyDescent="0.25">
      <c r="A4581" s="2" t="s">
        <v>4457</v>
      </c>
      <c r="B4581" s="1">
        <v>16154</v>
      </c>
      <c r="C4581" t="s">
        <v>4442</v>
      </c>
      <c r="D4581" t="s">
        <v>4443</v>
      </c>
    </row>
    <row r="4582" spans="1:4" x14ac:dyDescent="0.25">
      <c r="A4582" s="2" t="s">
        <v>4458</v>
      </c>
      <c r="B4582" s="1">
        <v>16174</v>
      </c>
      <c r="C4582" t="s">
        <v>4442</v>
      </c>
      <c r="D4582" t="s">
        <v>4443</v>
      </c>
    </row>
    <row r="4583" spans="1:4" x14ac:dyDescent="0.25">
      <c r="A4583" s="2" t="s">
        <v>4459</v>
      </c>
      <c r="B4583" s="1">
        <v>16203</v>
      </c>
      <c r="C4583" t="s">
        <v>4442</v>
      </c>
      <c r="D4583" t="s">
        <v>4443</v>
      </c>
    </row>
    <row r="4584" spans="1:4" x14ac:dyDescent="0.25">
      <c r="A4584" s="2" t="s">
        <v>4460</v>
      </c>
      <c r="B4584" s="1">
        <v>16129</v>
      </c>
      <c r="C4584" t="s">
        <v>4442</v>
      </c>
      <c r="D4584" t="s">
        <v>4443</v>
      </c>
    </row>
    <row r="4585" spans="1:4" x14ac:dyDescent="0.25">
      <c r="A4585" s="2" t="s">
        <v>4461</v>
      </c>
      <c r="B4585" s="1">
        <v>16160</v>
      </c>
      <c r="C4585" t="s">
        <v>4442</v>
      </c>
      <c r="D4585" t="s">
        <v>4443</v>
      </c>
    </row>
    <row r="4586" spans="1:4" x14ac:dyDescent="0.25">
      <c r="A4586" s="2" t="s">
        <v>4462</v>
      </c>
      <c r="B4586" s="1">
        <v>16160</v>
      </c>
      <c r="C4586" t="s">
        <v>4442</v>
      </c>
      <c r="D4586" t="s">
        <v>4443</v>
      </c>
    </row>
    <row r="4587" spans="1:4" x14ac:dyDescent="0.25">
      <c r="A4587" s="2" t="s">
        <v>4463</v>
      </c>
      <c r="B4587" s="1">
        <v>16160</v>
      </c>
      <c r="C4587" t="s">
        <v>4442</v>
      </c>
      <c r="D4587" t="s">
        <v>4443</v>
      </c>
    </row>
    <row r="4588" spans="1:4" x14ac:dyDescent="0.25">
      <c r="A4588" s="2" t="s">
        <v>4464</v>
      </c>
      <c r="B4588" s="1">
        <v>16199</v>
      </c>
      <c r="C4588" t="s">
        <v>4442</v>
      </c>
      <c r="D4588" t="s">
        <v>4443</v>
      </c>
    </row>
    <row r="4589" spans="1:4" x14ac:dyDescent="0.25">
      <c r="A4589" s="2" t="s">
        <v>4465</v>
      </c>
      <c r="B4589" s="1">
        <v>16228</v>
      </c>
      <c r="C4589" t="s">
        <v>4442</v>
      </c>
      <c r="D4589" t="s">
        <v>4443</v>
      </c>
    </row>
    <row r="4590" spans="1:4" x14ac:dyDescent="0.25">
      <c r="A4590" s="2" t="s">
        <v>4466</v>
      </c>
      <c r="B4590" s="1">
        <v>16204</v>
      </c>
      <c r="C4590" t="s">
        <v>4442</v>
      </c>
      <c r="D4590" t="s">
        <v>4443</v>
      </c>
    </row>
    <row r="4591" spans="1:4" x14ac:dyDescent="0.25">
      <c r="A4591" s="2" t="s">
        <v>4467</v>
      </c>
      <c r="B4591" s="1">
        <v>16224</v>
      </c>
      <c r="C4591" t="s">
        <v>4442</v>
      </c>
      <c r="D4591" t="s">
        <v>4443</v>
      </c>
    </row>
    <row r="4592" spans="1:4" x14ac:dyDescent="0.25">
      <c r="A4592" s="2" t="s">
        <v>4468</v>
      </c>
      <c r="B4592" s="1">
        <v>16268</v>
      </c>
      <c r="C4592" t="s">
        <v>4442</v>
      </c>
      <c r="D4592" t="s">
        <v>4443</v>
      </c>
    </row>
    <row r="4593" spans="1:4" x14ac:dyDescent="0.25">
      <c r="A4593" s="2" t="s">
        <v>4469</v>
      </c>
      <c r="B4593" s="1">
        <v>16268</v>
      </c>
      <c r="C4593" t="s">
        <v>4442</v>
      </c>
      <c r="D4593" t="s">
        <v>4443</v>
      </c>
    </row>
    <row r="4594" spans="1:4" x14ac:dyDescent="0.25">
      <c r="A4594" s="2" t="s">
        <v>4470</v>
      </c>
      <c r="B4594" s="1">
        <v>16268</v>
      </c>
      <c r="C4594" t="s">
        <v>4442</v>
      </c>
      <c r="D4594" t="s">
        <v>4443</v>
      </c>
    </row>
    <row r="4595" spans="1:4" x14ac:dyDescent="0.25">
      <c r="A4595" s="2" t="s">
        <v>4471</v>
      </c>
      <c r="B4595" s="1">
        <v>16294</v>
      </c>
      <c r="C4595" t="s">
        <v>4442</v>
      </c>
      <c r="D4595" t="s">
        <v>4443</v>
      </c>
    </row>
    <row r="4596" spans="1:4" x14ac:dyDescent="0.25">
      <c r="A4596" s="2" t="s">
        <v>4472</v>
      </c>
      <c r="B4596" s="1">
        <v>16286</v>
      </c>
      <c r="C4596" t="s">
        <v>4442</v>
      </c>
      <c r="D4596" t="s">
        <v>4443</v>
      </c>
    </row>
    <row r="4597" spans="1:4" x14ac:dyDescent="0.25">
      <c r="A4597" s="2" t="s">
        <v>4473</v>
      </c>
      <c r="B4597" s="1">
        <v>16320</v>
      </c>
      <c r="C4597" t="s">
        <v>4442</v>
      </c>
      <c r="D4597" t="s">
        <v>4443</v>
      </c>
    </row>
    <row r="4598" spans="1:4" x14ac:dyDescent="0.25">
      <c r="A4598" s="2" t="s">
        <v>4474</v>
      </c>
      <c r="B4598" s="1">
        <v>16294</v>
      </c>
      <c r="C4598" t="s">
        <v>4475</v>
      </c>
      <c r="D4598" t="s">
        <v>4443</v>
      </c>
    </row>
    <row r="4599" spans="1:4" x14ac:dyDescent="0.25">
      <c r="A4599" s="2" t="s">
        <v>4476</v>
      </c>
      <c r="B4599" s="1">
        <v>16243</v>
      </c>
      <c r="C4599" t="s">
        <v>4475</v>
      </c>
      <c r="D4599" t="s">
        <v>4443</v>
      </c>
    </row>
    <row r="4600" spans="1:4" x14ac:dyDescent="0.25">
      <c r="A4600" s="2" t="s">
        <v>4477</v>
      </c>
      <c r="B4600" s="1">
        <v>16243</v>
      </c>
      <c r="C4600" t="s">
        <v>4475</v>
      </c>
      <c r="D4600" t="s">
        <v>4443</v>
      </c>
    </row>
    <row r="4601" spans="1:4" x14ac:dyDescent="0.25">
      <c r="A4601" s="2" t="s">
        <v>4478</v>
      </c>
      <c r="B4601" s="1">
        <v>16243</v>
      </c>
      <c r="C4601" t="s">
        <v>4475</v>
      </c>
      <c r="D4601" t="s">
        <v>4443</v>
      </c>
    </row>
    <row r="4602" spans="1:4" x14ac:dyDescent="0.25">
      <c r="A4602" s="2" t="s">
        <v>4479</v>
      </c>
      <c r="B4602" s="1">
        <v>16234</v>
      </c>
      <c r="C4602" t="s">
        <v>4475</v>
      </c>
      <c r="D4602" t="s">
        <v>4443</v>
      </c>
    </row>
    <row r="4603" spans="1:4" x14ac:dyDescent="0.25">
      <c r="A4603" s="2" t="s">
        <v>4480</v>
      </c>
      <c r="B4603" s="1">
        <v>16154</v>
      </c>
      <c r="C4603" t="s">
        <v>4475</v>
      </c>
      <c r="D4603" t="s">
        <v>4443</v>
      </c>
    </row>
    <row r="4604" spans="1:4" x14ac:dyDescent="0.25">
      <c r="A4604" s="2" t="s">
        <v>4481</v>
      </c>
      <c r="B4604" s="1">
        <v>16183</v>
      </c>
      <c r="C4604" t="s">
        <v>4475</v>
      </c>
      <c r="D4604" t="s">
        <v>4443</v>
      </c>
    </row>
    <row r="4605" spans="1:4" x14ac:dyDescent="0.25">
      <c r="A4605" s="2" t="s">
        <v>4482</v>
      </c>
      <c r="B4605" s="1">
        <v>16100</v>
      </c>
      <c r="C4605" t="s">
        <v>4475</v>
      </c>
      <c r="D4605" t="s">
        <v>4443</v>
      </c>
    </row>
    <row r="4606" spans="1:4" x14ac:dyDescent="0.25">
      <c r="A4606" s="2" t="s">
        <v>4483</v>
      </c>
      <c r="B4606" s="1">
        <v>15952</v>
      </c>
      <c r="C4606" t="s">
        <v>4475</v>
      </c>
      <c r="D4606" t="s">
        <v>4443</v>
      </c>
    </row>
    <row r="4607" spans="1:4" x14ac:dyDescent="0.25">
      <c r="A4607" s="2" t="s">
        <v>4484</v>
      </c>
      <c r="B4607" s="1">
        <v>15952</v>
      </c>
      <c r="C4607" t="s">
        <v>4475</v>
      </c>
      <c r="D4607" t="s">
        <v>4443</v>
      </c>
    </row>
    <row r="4608" spans="1:4" x14ac:dyDescent="0.25">
      <c r="A4608" s="2" t="s">
        <v>4485</v>
      </c>
      <c r="B4608" s="1">
        <v>15952</v>
      </c>
      <c r="C4608" t="s">
        <v>4475</v>
      </c>
      <c r="D4608" t="s">
        <v>4443</v>
      </c>
    </row>
    <row r="4609" spans="1:4" x14ac:dyDescent="0.25">
      <c r="A4609" s="2" t="s">
        <v>4486</v>
      </c>
      <c r="B4609" s="1">
        <v>15914</v>
      </c>
      <c r="C4609" t="s">
        <v>4475</v>
      </c>
      <c r="D4609" t="s">
        <v>4443</v>
      </c>
    </row>
    <row r="4610" spans="1:4" x14ac:dyDescent="0.25">
      <c r="A4610" s="2" t="s">
        <v>4487</v>
      </c>
      <c r="B4610" s="1">
        <v>15963</v>
      </c>
      <c r="C4610" t="s">
        <v>4475</v>
      </c>
      <c r="D4610" t="s">
        <v>4443</v>
      </c>
    </row>
    <row r="4611" spans="1:4" x14ac:dyDescent="0.25">
      <c r="A4611" s="2" t="s">
        <v>4488</v>
      </c>
      <c r="B4611" s="1">
        <v>15885</v>
      </c>
      <c r="C4611" t="s">
        <v>4475</v>
      </c>
      <c r="D4611" t="s">
        <v>4443</v>
      </c>
    </row>
    <row r="4612" spans="1:4" x14ac:dyDescent="0.25">
      <c r="A4612" s="2" t="s">
        <v>4489</v>
      </c>
      <c r="B4612" s="1">
        <v>15691</v>
      </c>
      <c r="C4612" t="s">
        <v>4475</v>
      </c>
      <c r="D4612" t="s">
        <v>4443</v>
      </c>
    </row>
    <row r="4613" spans="1:4" x14ac:dyDescent="0.25">
      <c r="A4613" s="2" t="s">
        <v>4490</v>
      </c>
      <c r="B4613" s="1">
        <v>15687</v>
      </c>
      <c r="C4613" t="s">
        <v>4475</v>
      </c>
      <c r="D4613" t="s">
        <v>4443</v>
      </c>
    </row>
    <row r="4614" spans="1:4" x14ac:dyDescent="0.25">
      <c r="A4614" s="2" t="s">
        <v>4491</v>
      </c>
      <c r="B4614" s="1">
        <v>15687</v>
      </c>
      <c r="C4614" t="s">
        <v>4475</v>
      </c>
      <c r="D4614" t="s">
        <v>4443</v>
      </c>
    </row>
    <row r="4615" spans="1:4" x14ac:dyDescent="0.25">
      <c r="A4615" s="2" t="s">
        <v>4492</v>
      </c>
      <c r="B4615" s="1">
        <v>15687</v>
      </c>
      <c r="C4615" t="s">
        <v>4475</v>
      </c>
      <c r="D4615" t="s">
        <v>4443</v>
      </c>
    </row>
    <row r="4616" spans="1:4" x14ac:dyDescent="0.25">
      <c r="A4616" s="2" t="s">
        <v>4493</v>
      </c>
      <c r="B4616" s="1">
        <v>15716</v>
      </c>
      <c r="C4616" t="s">
        <v>4475</v>
      </c>
      <c r="D4616" t="s">
        <v>4443</v>
      </c>
    </row>
    <row r="4617" spans="1:4" x14ac:dyDescent="0.25">
      <c r="A4617" s="2" t="s">
        <v>4494</v>
      </c>
      <c r="B4617" s="1">
        <v>15591</v>
      </c>
      <c r="C4617" t="s">
        <v>4475</v>
      </c>
      <c r="D4617" t="s">
        <v>4443</v>
      </c>
    </row>
    <row r="4618" spans="1:4" x14ac:dyDescent="0.25">
      <c r="A4618" s="2" t="s">
        <v>4495</v>
      </c>
      <c r="B4618" s="1">
        <v>15480</v>
      </c>
      <c r="C4618" t="s">
        <v>4475</v>
      </c>
      <c r="D4618" t="s">
        <v>4443</v>
      </c>
    </row>
    <row r="4619" spans="1:4" x14ac:dyDescent="0.25">
      <c r="A4619" s="2" t="s">
        <v>4496</v>
      </c>
      <c r="B4619" s="1">
        <v>15456</v>
      </c>
      <c r="C4619" t="s">
        <v>4475</v>
      </c>
      <c r="D4619" t="s">
        <v>4443</v>
      </c>
    </row>
    <row r="4620" spans="1:4" x14ac:dyDescent="0.25">
      <c r="A4620" s="2" t="s">
        <v>4497</v>
      </c>
      <c r="B4620" s="1">
        <v>15579</v>
      </c>
      <c r="C4620" t="s">
        <v>4475</v>
      </c>
      <c r="D4620" t="s">
        <v>4443</v>
      </c>
    </row>
    <row r="4621" spans="1:4" x14ac:dyDescent="0.25">
      <c r="A4621" s="2" t="s">
        <v>4498</v>
      </c>
      <c r="B4621" s="1">
        <v>15579</v>
      </c>
      <c r="C4621" t="s">
        <v>4475</v>
      </c>
      <c r="D4621" t="s">
        <v>4443</v>
      </c>
    </row>
    <row r="4622" spans="1:4" x14ac:dyDescent="0.25">
      <c r="A4622" s="2" t="s">
        <v>4499</v>
      </c>
      <c r="B4622" s="1">
        <v>15579</v>
      </c>
      <c r="C4622" t="s">
        <v>4475</v>
      </c>
      <c r="D4622" t="s">
        <v>4443</v>
      </c>
    </row>
    <row r="4623" spans="1:4" x14ac:dyDescent="0.25">
      <c r="A4623" s="2" t="s">
        <v>4500</v>
      </c>
      <c r="B4623" s="1">
        <v>15554</v>
      </c>
      <c r="C4623" t="s">
        <v>4475</v>
      </c>
      <c r="D4623" t="s">
        <v>4443</v>
      </c>
    </row>
    <row r="4624" spans="1:4" x14ac:dyDescent="0.25">
      <c r="A4624" s="2" t="s">
        <v>4501</v>
      </c>
      <c r="B4624" s="1">
        <v>15380</v>
      </c>
      <c r="C4624" t="s">
        <v>4475</v>
      </c>
      <c r="D4624" t="s">
        <v>4443</v>
      </c>
    </row>
    <row r="4625" spans="1:4" x14ac:dyDescent="0.25">
      <c r="A4625" s="2" t="s">
        <v>4502</v>
      </c>
      <c r="B4625" s="1">
        <v>15509</v>
      </c>
      <c r="C4625" t="s">
        <v>4475</v>
      </c>
      <c r="D4625" t="s">
        <v>4443</v>
      </c>
    </row>
    <row r="4626" spans="1:4" x14ac:dyDescent="0.25">
      <c r="A4626" s="2" t="s">
        <v>4503</v>
      </c>
      <c r="B4626" s="1">
        <v>15476</v>
      </c>
      <c r="C4626" t="s">
        <v>4475</v>
      </c>
      <c r="D4626" t="s">
        <v>4443</v>
      </c>
    </row>
    <row r="4627" spans="1:4" x14ac:dyDescent="0.25">
      <c r="A4627" s="2" t="s">
        <v>4504</v>
      </c>
      <c r="B4627" s="1">
        <v>15409</v>
      </c>
      <c r="C4627" t="s">
        <v>4475</v>
      </c>
      <c r="D4627" t="s">
        <v>4443</v>
      </c>
    </row>
    <row r="4628" spans="1:4" x14ac:dyDescent="0.25">
      <c r="A4628" s="2" t="s">
        <v>4505</v>
      </c>
      <c r="B4628" s="1">
        <v>15409</v>
      </c>
      <c r="C4628" t="s">
        <v>4475</v>
      </c>
      <c r="D4628" t="s">
        <v>4443</v>
      </c>
    </row>
    <row r="4629" spans="1:4" x14ac:dyDescent="0.25">
      <c r="A4629" s="2" t="s">
        <v>4506</v>
      </c>
      <c r="B4629" s="1">
        <v>15409</v>
      </c>
      <c r="C4629" t="s">
        <v>4507</v>
      </c>
      <c r="D4629" t="s">
        <v>4443</v>
      </c>
    </row>
    <row r="4630" spans="1:4" x14ac:dyDescent="0.25">
      <c r="A4630" s="2" t="s">
        <v>4508</v>
      </c>
      <c r="B4630" s="1">
        <v>15473</v>
      </c>
      <c r="C4630" t="s">
        <v>4507</v>
      </c>
      <c r="D4630" t="s">
        <v>4443</v>
      </c>
    </row>
    <row r="4631" spans="1:4" x14ac:dyDescent="0.25">
      <c r="A4631" s="2" t="s">
        <v>4509</v>
      </c>
      <c r="B4631" s="1">
        <v>15536</v>
      </c>
      <c r="C4631" t="s">
        <v>4507</v>
      </c>
      <c r="D4631" t="s">
        <v>4443</v>
      </c>
    </row>
    <row r="4632" spans="1:4" x14ac:dyDescent="0.25">
      <c r="A4632" s="2" t="s">
        <v>4510</v>
      </c>
      <c r="B4632" s="1">
        <v>15557</v>
      </c>
      <c r="C4632" t="s">
        <v>4507</v>
      </c>
      <c r="D4632" t="s">
        <v>4443</v>
      </c>
    </row>
    <row r="4633" spans="1:4" x14ac:dyDescent="0.25">
      <c r="A4633" s="2" t="s">
        <v>4511</v>
      </c>
      <c r="B4633" s="1">
        <v>15490</v>
      </c>
      <c r="C4633" t="s">
        <v>4507</v>
      </c>
      <c r="D4633" t="s">
        <v>4443</v>
      </c>
    </row>
    <row r="4634" spans="1:4" x14ac:dyDescent="0.25">
      <c r="A4634" s="2" t="s">
        <v>4512</v>
      </c>
      <c r="B4634" s="1">
        <v>15410</v>
      </c>
      <c r="C4634" t="s">
        <v>4507</v>
      </c>
      <c r="D4634" t="s">
        <v>4443</v>
      </c>
    </row>
    <row r="4635" spans="1:4" x14ac:dyDescent="0.25">
      <c r="A4635" s="2" t="s">
        <v>4513</v>
      </c>
      <c r="B4635" s="1">
        <v>15410</v>
      </c>
      <c r="C4635" t="s">
        <v>4507</v>
      </c>
      <c r="D4635" t="s">
        <v>4443</v>
      </c>
    </row>
    <row r="4636" spans="1:4" x14ac:dyDescent="0.25">
      <c r="A4636" s="2" t="s">
        <v>4514</v>
      </c>
      <c r="B4636" s="1">
        <v>15410</v>
      </c>
      <c r="C4636" t="s">
        <v>4507</v>
      </c>
      <c r="D4636" t="s">
        <v>4443</v>
      </c>
    </row>
    <row r="4637" spans="1:4" x14ac:dyDescent="0.25">
      <c r="A4637" s="2" t="s">
        <v>4515</v>
      </c>
      <c r="B4637" s="1">
        <v>15372</v>
      </c>
      <c r="C4637" t="s">
        <v>4507</v>
      </c>
      <c r="D4637" t="s">
        <v>4443</v>
      </c>
    </row>
    <row r="4638" spans="1:4" x14ac:dyDescent="0.25">
      <c r="A4638" s="2" t="s">
        <v>4516</v>
      </c>
      <c r="B4638" s="1">
        <v>15446</v>
      </c>
      <c r="C4638" t="s">
        <v>4507</v>
      </c>
      <c r="D4638" t="s">
        <v>4443</v>
      </c>
    </row>
    <row r="4639" spans="1:4" x14ac:dyDescent="0.25">
      <c r="A4639" s="2" t="s">
        <v>4517</v>
      </c>
      <c r="B4639" s="1">
        <v>15447</v>
      </c>
      <c r="C4639" t="s">
        <v>4507</v>
      </c>
      <c r="D4639" t="s">
        <v>4443</v>
      </c>
    </row>
    <row r="4640" spans="1:4" x14ac:dyDescent="0.25">
      <c r="A4640" s="2" t="s">
        <v>4518</v>
      </c>
      <c r="B4640" s="1">
        <v>15415</v>
      </c>
      <c r="C4640" t="s">
        <v>4507</v>
      </c>
      <c r="D4640" t="s">
        <v>4443</v>
      </c>
    </row>
    <row r="4641" spans="1:4" x14ac:dyDescent="0.25">
      <c r="A4641" s="2" t="s">
        <v>4519</v>
      </c>
      <c r="B4641" s="1">
        <v>15421</v>
      </c>
      <c r="C4641" t="s">
        <v>4507</v>
      </c>
      <c r="D4641" t="s">
        <v>4443</v>
      </c>
    </row>
    <row r="4642" spans="1:4" x14ac:dyDescent="0.25">
      <c r="A4642" s="2" t="s">
        <v>4520</v>
      </c>
      <c r="B4642" s="1">
        <v>15421</v>
      </c>
      <c r="C4642" t="s">
        <v>4507</v>
      </c>
      <c r="D4642" t="s">
        <v>4443</v>
      </c>
    </row>
    <row r="4643" spans="1:4" x14ac:dyDescent="0.25">
      <c r="A4643" s="2" t="s">
        <v>4521</v>
      </c>
      <c r="B4643" s="1">
        <v>15421</v>
      </c>
      <c r="C4643" t="s">
        <v>4507</v>
      </c>
      <c r="D4643" t="s">
        <v>4443</v>
      </c>
    </row>
    <row r="4644" spans="1:4" x14ac:dyDescent="0.25">
      <c r="A4644" s="2" t="s">
        <v>4522</v>
      </c>
      <c r="B4644" s="1">
        <v>15421</v>
      </c>
      <c r="C4644" t="s">
        <v>4507</v>
      </c>
      <c r="D4644" t="s">
        <v>4443</v>
      </c>
    </row>
    <row r="4645" spans="1:4" x14ac:dyDescent="0.25">
      <c r="A4645" s="2" t="s">
        <v>4523</v>
      </c>
      <c r="B4645" s="1">
        <v>15405</v>
      </c>
      <c r="C4645" t="s">
        <v>4507</v>
      </c>
      <c r="D4645" t="s">
        <v>4443</v>
      </c>
    </row>
    <row r="4646" spans="1:4" x14ac:dyDescent="0.25">
      <c r="A4646" s="2" t="s">
        <v>4524</v>
      </c>
      <c r="B4646" s="1">
        <v>15338</v>
      </c>
      <c r="C4646" t="s">
        <v>4507</v>
      </c>
      <c r="D4646" t="s">
        <v>4443</v>
      </c>
    </row>
    <row r="4647" spans="1:4" x14ac:dyDescent="0.25">
      <c r="A4647" s="2" t="s">
        <v>4525</v>
      </c>
      <c r="B4647" s="1">
        <v>15350</v>
      </c>
      <c r="C4647" t="s">
        <v>4507</v>
      </c>
      <c r="D4647" t="s">
        <v>4443</v>
      </c>
    </row>
    <row r="4648" spans="1:4" x14ac:dyDescent="0.25">
      <c r="A4648" s="2" t="s">
        <v>4526</v>
      </c>
      <c r="B4648" s="1">
        <v>15287</v>
      </c>
      <c r="C4648" t="s">
        <v>4507</v>
      </c>
      <c r="D4648" t="s">
        <v>4443</v>
      </c>
    </row>
    <row r="4649" spans="1:4" x14ac:dyDescent="0.25">
      <c r="A4649" s="2" t="s">
        <v>4527</v>
      </c>
      <c r="B4649" s="1">
        <v>15287</v>
      </c>
      <c r="C4649" t="s">
        <v>4507</v>
      </c>
      <c r="D4649" t="s">
        <v>4443</v>
      </c>
    </row>
    <row r="4650" spans="1:4" x14ac:dyDescent="0.25">
      <c r="A4650" s="2" t="s">
        <v>4528</v>
      </c>
      <c r="B4650" s="1">
        <v>15287</v>
      </c>
      <c r="C4650" t="s">
        <v>4507</v>
      </c>
      <c r="D4650" t="s">
        <v>4443</v>
      </c>
    </row>
    <row r="4651" spans="1:4" x14ac:dyDescent="0.25">
      <c r="A4651" s="2" t="s">
        <v>4529</v>
      </c>
      <c r="B4651" s="1">
        <v>15100</v>
      </c>
      <c r="C4651" t="s">
        <v>4507</v>
      </c>
      <c r="D4651" t="s">
        <v>4443</v>
      </c>
    </row>
    <row r="4652" spans="1:4" x14ac:dyDescent="0.25">
      <c r="A4652" s="2" t="s">
        <v>4530</v>
      </c>
      <c r="B4652" s="1">
        <v>15191</v>
      </c>
      <c r="C4652" t="s">
        <v>4507</v>
      </c>
      <c r="D4652" t="s">
        <v>4443</v>
      </c>
    </row>
    <row r="4653" spans="1:4" x14ac:dyDescent="0.25">
      <c r="A4653" s="2" t="s">
        <v>4531</v>
      </c>
      <c r="B4653" s="1">
        <v>15186</v>
      </c>
      <c r="C4653" t="s">
        <v>4507</v>
      </c>
      <c r="D4653" t="s">
        <v>4443</v>
      </c>
    </row>
    <row r="4654" spans="1:4" x14ac:dyDescent="0.25">
      <c r="A4654" s="2" t="s">
        <v>4532</v>
      </c>
      <c r="B4654" s="1">
        <v>15092</v>
      </c>
      <c r="C4654" t="s">
        <v>4507</v>
      </c>
      <c r="D4654" t="s">
        <v>4443</v>
      </c>
    </row>
    <row r="4655" spans="1:4" x14ac:dyDescent="0.25">
      <c r="A4655" s="2" t="s">
        <v>4533</v>
      </c>
      <c r="B4655" s="1">
        <v>15171</v>
      </c>
      <c r="C4655" t="s">
        <v>4507</v>
      </c>
      <c r="D4655" t="s">
        <v>4443</v>
      </c>
    </row>
    <row r="4656" spans="1:4" x14ac:dyDescent="0.25">
      <c r="A4656" s="2" t="s">
        <v>4534</v>
      </c>
      <c r="B4656" s="1">
        <v>15171</v>
      </c>
      <c r="C4656" t="s">
        <v>4507</v>
      </c>
      <c r="D4656" t="s">
        <v>4443</v>
      </c>
    </row>
    <row r="4657" spans="1:4" x14ac:dyDescent="0.25">
      <c r="A4657" s="2" t="s">
        <v>4535</v>
      </c>
      <c r="B4657" s="1">
        <v>15171</v>
      </c>
      <c r="C4657" t="s">
        <v>4507</v>
      </c>
      <c r="D4657" t="s">
        <v>4443</v>
      </c>
    </row>
    <row r="4658" spans="1:4" x14ac:dyDescent="0.25">
      <c r="A4658" s="2" t="s">
        <v>4536</v>
      </c>
      <c r="B4658" s="1">
        <v>15138</v>
      </c>
      <c r="C4658" t="s">
        <v>4507</v>
      </c>
      <c r="D4658" t="s">
        <v>4443</v>
      </c>
    </row>
    <row r="4659" spans="1:4" x14ac:dyDescent="0.25">
      <c r="A4659" s="2" t="s">
        <v>4537</v>
      </c>
      <c r="B4659" s="1">
        <v>15144</v>
      </c>
      <c r="C4659" t="s">
        <v>4538</v>
      </c>
      <c r="D4659" t="s">
        <v>4539</v>
      </c>
    </row>
    <row r="4660" spans="1:4" x14ac:dyDescent="0.25">
      <c r="A4660" s="2" t="s">
        <v>4540</v>
      </c>
      <c r="B4660" s="1">
        <v>15204</v>
      </c>
      <c r="C4660" t="s">
        <v>4538</v>
      </c>
      <c r="D4660" t="s">
        <v>4539</v>
      </c>
    </row>
    <row r="4661" spans="1:4" x14ac:dyDescent="0.25">
      <c r="A4661" s="2" t="s">
        <v>4541</v>
      </c>
      <c r="B4661" s="1">
        <v>15247</v>
      </c>
      <c r="C4661" t="s">
        <v>4538</v>
      </c>
      <c r="D4661" t="s">
        <v>4539</v>
      </c>
    </row>
    <row r="4662" spans="1:4" x14ac:dyDescent="0.25">
      <c r="A4662" s="2" t="s">
        <v>4542</v>
      </c>
      <c r="B4662" s="1">
        <v>15394</v>
      </c>
      <c r="C4662" t="s">
        <v>4538</v>
      </c>
      <c r="D4662" t="s">
        <v>4539</v>
      </c>
    </row>
    <row r="4663" spans="1:4" x14ac:dyDescent="0.25">
      <c r="A4663" s="2" t="s">
        <v>4543</v>
      </c>
      <c r="B4663" s="1">
        <v>15394</v>
      </c>
      <c r="C4663" t="s">
        <v>4538</v>
      </c>
      <c r="D4663" t="s">
        <v>4539</v>
      </c>
    </row>
    <row r="4664" spans="1:4" x14ac:dyDescent="0.25">
      <c r="A4664" s="2" t="s">
        <v>4544</v>
      </c>
      <c r="B4664" s="1">
        <v>15394</v>
      </c>
      <c r="C4664" t="s">
        <v>4538</v>
      </c>
      <c r="D4664" t="s">
        <v>4539</v>
      </c>
    </row>
    <row r="4665" spans="1:4" x14ac:dyDescent="0.25">
      <c r="A4665" s="2" t="s">
        <v>4545</v>
      </c>
      <c r="B4665" s="1">
        <v>15495</v>
      </c>
      <c r="C4665" t="s">
        <v>4538</v>
      </c>
      <c r="D4665" t="s">
        <v>4539</v>
      </c>
    </row>
    <row r="4666" spans="1:4" x14ac:dyDescent="0.25">
      <c r="A4666" s="2" t="s">
        <v>4546</v>
      </c>
      <c r="B4666" s="1">
        <v>15680</v>
      </c>
      <c r="C4666" t="s">
        <v>4538</v>
      </c>
      <c r="D4666" t="s">
        <v>4539</v>
      </c>
    </row>
    <row r="4667" spans="1:4" x14ac:dyDescent="0.25">
      <c r="A4667" s="2" t="s">
        <v>4547</v>
      </c>
      <c r="B4667" s="1">
        <v>15671</v>
      </c>
      <c r="C4667" t="s">
        <v>4538</v>
      </c>
      <c r="D4667" t="s">
        <v>4539</v>
      </c>
    </row>
    <row r="4668" spans="1:4" x14ac:dyDescent="0.25">
      <c r="A4668" s="2" t="s">
        <v>4548</v>
      </c>
      <c r="B4668" s="1">
        <v>15607</v>
      </c>
      <c r="C4668" t="s">
        <v>4538</v>
      </c>
      <c r="D4668" t="s">
        <v>4539</v>
      </c>
    </row>
    <row r="4669" spans="1:4" x14ac:dyDescent="0.25">
      <c r="A4669" s="2" t="s">
        <v>4549</v>
      </c>
      <c r="B4669" s="1">
        <v>15658</v>
      </c>
      <c r="C4669" t="s">
        <v>4538</v>
      </c>
      <c r="D4669" t="s">
        <v>4539</v>
      </c>
    </row>
    <row r="4670" spans="1:4" x14ac:dyDescent="0.25">
      <c r="A4670" s="2" t="s">
        <v>4550</v>
      </c>
      <c r="B4670" s="1">
        <v>15658</v>
      </c>
      <c r="C4670" t="s">
        <v>4538</v>
      </c>
      <c r="D4670" t="s">
        <v>4539</v>
      </c>
    </row>
    <row r="4671" spans="1:4" x14ac:dyDescent="0.25">
      <c r="A4671" s="2" t="s">
        <v>4551</v>
      </c>
      <c r="B4671" s="1">
        <v>15658</v>
      </c>
      <c r="C4671" t="s">
        <v>4538</v>
      </c>
      <c r="D4671" t="s">
        <v>4539</v>
      </c>
    </row>
    <row r="4672" spans="1:4" x14ac:dyDescent="0.25">
      <c r="A4672" s="2" t="s">
        <v>4552</v>
      </c>
      <c r="B4672" s="1">
        <v>15609</v>
      </c>
      <c r="C4672" t="s">
        <v>4538</v>
      </c>
      <c r="D4672" t="s">
        <v>4539</v>
      </c>
    </row>
    <row r="4673" spans="1:4" x14ac:dyDescent="0.25">
      <c r="A4673" s="2" t="s">
        <v>4553</v>
      </c>
      <c r="B4673" s="1">
        <v>15581</v>
      </c>
      <c r="C4673" t="s">
        <v>4538</v>
      </c>
      <c r="D4673" t="s">
        <v>4539</v>
      </c>
    </row>
    <row r="4674" spans="1:4" x14ac:dyDescent="0.25">
      <c r="A4674" s="2" t="s">
        <v>4554</v>
      </c>
      <c r="B4674" s="1">
        <v>15555</v>
      </c>
      <c r="C4674" t="s">
        <v>4538</v>
      </c>
      <c r="D4674" t="s">
        <v>4539</v>
      </c>
    </row>
    <row r="4675" spans="1:4" x14ac:dyDescent="0.25">
      <c r="A4675" s="2" t="s">
        <v>4555</v>
      </c>
      <c r="B4675" s="1">
        <v>15536</v>
      </c>
      <c r="C4675" t="s">
        <v>4538</v>
      </c>
      <c r="D4675" t="s">
        <v>4539</v>
      </c>
    </row>
    <row r="4676" spans="1:4" x14ac:dyDescent="0.25">
      <c r="A4676" s="2" t="s">
        <v>4556</v>
      </c>
      <c r="B4676" s="1">
        <v>15516</v>
      </c>
      <c r="C4676" t="s">
        <v>4538</v>
      </c>
      <c r="D4676" t="s">
        <v>4539</v>
      </c>
    </row>
    <row r="4677" spans="1:4" x14ac:dyDescent="0.25">
      <c r="A4677" s="2" t="s">
        <v>4557</v>
      </c>
      <c r="B4677" s="1">
        <v>15516</v>
      </c>
      <c r="C4677" t="s">
        <v>4538</v>
      </c>
      <c r="D4677" t="s">
        <v>4539</v>
      </c>
    </row>
    <row r="4678" spans="1:4" x14ac:dyDescent="0.25">
      <c r="A4678" s="2" t="s">
        <v>4558</v>
      </c>
      <c r="B4678" s="1">
        <v>15516</v>
      </c>
      <c r="C4678" t="s">
        <v>4538</v>
      </c>
      <c r="D4678" t="s">
        <v>4539</v>
      </c>
    </row>
    <row r="4679" spans="1:4" x14ac:dyDescent="0.25">
      <c r="A4679" s="2" t="s">
        <v>4559</v>
      </c>
      <c r="B4679" s="1">
        <v>15466</v>
      </c>
      <c r="C4679" t="s">
        <v>4538</v>
      </c>
      <c r="D4679" t="s">
        <v>4539</v>
      </c>
    </row>
    <row r="4680" spans="1:4" x14ac:dyDescent="0.25">
      <c r="A4680" s="2" t="s">
        <v>4560</v>
      </c>
      <c r="B4680" s="1">
        <v>15465</v>
      </c>
      <c r="C4680" t="s">
        <v>4538</v>
      </c>
      <c r="D4680" t="s">
        <v>4539</v>
      </c>
    </row>
    <row r="4681" spans="1:4" x14ac:dyDescent="0.25">
      <c r="A4681" s="2" t="s">
        <v>4561</v>
      </c>
      <c r="B4681" s="1">
        <v>15560</v>
      </c>
      <c r="C4681" t="s">
        <v>4538</v>
      </c>
      <c r="D4681" t="s">
        <v>4539</v>
      </c>
    </row>
    <row r="4682" spans="1:4" x14ac:dyDescent="0.25">
      <c r="A4682" s="2" t="s">
        <v>4562</v>
      </c>
      <c r="B4682" s="1">
        <v>15620</v>
      </c>
      <c r="C4682" t="s">
        <v>4538</v>
      </c>
      <c r="D4682" t="s">
        <v>4539</v>
      </c>
    </row>
    <row r="4683" spans="1:4" x14ac:dyDescent="0.25">
      <c r="A4683" s="2" t="s">
        <v>4563</v>
      </c>
      <c r="B4683" s="1">
        <v>15593</v>
      </c>
      <c r="C4683" t="s">
        <v>4538</v>
      </c>
      <c r="D4683" t="s">
        <v>4539</v>
      </c>
    </row>
    <row r="4684" spans="1:4" x14ac:dyDescent="0.25">
      <c r="A4684" s="2" t="s">
        <v>4564</v>
      </c>
      <c r="B4684" s="1">
        <v>15593</v>
      </c>
      <c r="C4684" t="s">
        <v>4538</v>
      </c>
      <c r="D4684" t="s">
        <v>4539</v>
      </c>
    </row>
    <row r="4685" spans="1:4" x14ac:dyDescent="0.25">
      <c r="A4685" s="2" t="s">
        <v>4565</v>
      </c>
      <c r="B4685" s="1">
        <v>15593</v>
      </c>
      <c r="C4685" t="s">
        <v>4538</v>
      </c>
      <c r="D4685" t="s">
        <v>4539</v>
      </c>
    </row>
    <row r="4686" spans="1:4" x14ac:dyDescent="0.25">
      <c r="A4686" s="2" t="s">
        <v>4566</v>
      </c>
      <c r="B4686" s="1">
        <v>15629</v>
      </c>
      <c r="C4686" t="s">
        <v>4538</v>
      </c>
      <c r="D4686" t="s">
        <v>4539</v>
      </c>
    </row>
    <row r="4687" spans="1:4" x14ac:dyDescent="0.25">
      <c r="A4687" s="2" t="s">
        <v>4567</v>
      </c>
      <c r="B4687" s="1">
        <v>15729</v>
      </c>
      <c r="C4687" t="s">
        <v>4538</v>
      </c>
      <c r="D4687" t="s">
        <v>4539</v>
      </c>
    </row>
    <row r="4688" spans="1:4" x14ac:dyDescent="0.25">
      <c r="A4688" s="2" t="s">
        <v>4568</v>
      </c>
      <c r="B4688" s="1">
        <v>15760</v>
      </c>
      <c r="C4688" t="s">
        <v>4538</v>
      </c>
      <c r="D4688" t="s">
        <v>4539</v>
      </c>
    </row>
    <row r="4689" spans="1:4" x14ac:dyDescent="0.25">
      <c r="A4689" s="2" t="s">
        <v>4569</v>
      </c>
      <c r="B4689" s="1">
        <v>15732</v>
      </c>
      <c r="C4689" t="s">
        <v>4538</v>
      </c>
      <c r="D4689" t="s">
        <v>4539</v>
      </c>
    </row>
    <row r="4690" spans="1:4" x14ac:dyDescent="0.25">
      <c r="A4690" s="2" t="s">
        <v>4570</v>
      </c>
      <c r="B4690" s="1">
        <v>15705</v>
      </c>
      <c r="C4690" t="s">
        <v>4571</v>
      </c>
      <c r="D4690" t="s">
        <v>4539</v>
      </c>
    </row>
    <row r="4691" spans="1:4" x14ac:dyDescent="0.25">
      <c r="A4691" s="2" t="s">
        <v>4572</v>
      </c>
      <c r="B4691" s="1">
        <v>15705</v>
      </c>
      <c r="C4691" t="s">
        <v>4571</v>
      </c>
      <c r="D4691" t="s">
        <v>4539</v>
      </c>
    </row>
    <row r="4692" spans="1:4" x14ac:dyDescent="0.25">
      <c r="A4692" s="2" t="s">
        <v>4573</v>
      </c>
      <c r="B4692" s="1">
        <v>15705</v>
      </c>
      <c r="C4692" t="s">
        <v>4571</v>
      </c>
      <c r="D4692" t="s">
        <v>4539</v>
      </c>
    </row>
    <row r="4693" spans="1:4" x14ac:dyDescent="0.25">
      <c r="A4693" s="2" t="s">
        <v>4574</v>
      </c>
      <c r="B4693" s="1">
        <v>15723</v>
      </c>
      <c r="C4693" t="s">
        <v>4571</v>
      </c>
      <c r="D4693" t="s">
        <v>4539</v>
      </c>
    </row>
    <row r="4694" spans="1:4" x14ac:dyDescent="0.25">
      <c r="A4694" s="2" t="s">
        <v>4575</v>
      </c>
      <c r="B4694" s="1">
        <v>15751</v>
      </c>
      <c r="C4694" t="s">
        <v>4571</v>
      </c>
      <c r="D4694" t="s">
        <v>4539</v>
      </c>
    </row>
    <row r="4695" spans="1:4" x14ac:dyDescent="0.25">
      <c r="A4695" s="2" t="s">
        <v>4576</v>
      </c>
      <c r="B4695" s="1">
        <v>15766</v>
      </c>
      <c r="C4695" t="s">
        <v>4571</v>
      </c>
      <c r="D4695" t="s">
        <v>4539</v>
      </c>
    </row>
    <row r="4696" spans="1:4" x14ac:dyDescent="0.25">
      <c r="A4696" s="2" t="s">
        <v>4577</v>
      </c>
      <c r="B4696" s="1">
        <v>15840</v>
      </c>
      <c r="C4696" t="s">
        <v>4571</v>
      </c>
      <c r="D4696" t="s">
        <v>4539</v>
      </c>
    </row>
    <row r="4697" spans="1:4" x14ac:dyDescent="0.25">
      <c r="A4697" s="2" t="s">
        <v>4578</v>
      </c>
      <c r="B4697" s="1">
        <v>15767</v>
      </c>
      <c r="C4697" t="s">
        <v>4571</v>
      </c>
      <c r="D4697" t="s">
        <v>4539</v>
      </c>
    </row>
    <row r="4698" spans="1:4" x14ac:dyDescent="0.25">
      <c r="A4698" s="2" t="s">
        <v>4579</v>
      </c>
      <c r="B4698" s="1">
        <v>15767</v>
      </c>
      <c r="C4698" t="s">
        <v>4571</v>
      </c>
      <c r="D4698" t="s">
        <v>4539</v>
      </c>
    </row>
    <row r="4699" spans="1:4" x14ac:dyDescent="0.25">
      <c r="A4699" s="2" t="s">
        <v>4580</v>
      </c>
      <c r="B4699" s="1">
        <v>15767</v>
      </c>
      <c r="C4699" t="s">
        <v>4571</v>
      </c>
      <c r="D4699" t="s">
        <v>4539</v>
      </c>
    </row>
    <row r="4700" spans="1:4" x14ac:dyDescent="0.25">
      <c r="A4700" s="2" t="s">
        <v>4581</v>
      </c>
      <c r="B4700" s="1">
        <v>15671</v>
      </c>
      <c r="C4700" t="s">
        <v>4571</v>
      </c>
      <c r="D4700" t="s">
        <v>4539</v>
      </c>
    </row>
    <row r="4701" spans="1:4" x14ac:dyDescent="0.25">
      <c r="A4701" s="2" t="s">
        <v>4582</v>
      </c>
      <c r="B4701" s="1">
        <v>15677</v>
      </c>
      <c r="C4701" t="s">
        <v>4571</v>
      </c>
      <c r="D4701" t="s">
        <v>4539</v>
      </c>
    </row>
    <row r="4702" spans="1:4" x14ac:dyDescent="0.25">
      <c r="A4702" s="2" t="s">
        <v>4583</v>
      </c>
      <c r="B4702" s="1">
        <v>15771</v>
      </c>
      <c r="C4702" t="s">
        <v>4571</v>
      </c>
      <c r="D4702" t="s">
        <v>4539</v>
      </c>
    </row>
    <row r="4703" spans="1:4" x14ac:dyDescent="0.25">
      <c r="A4703" s="2" t="s">
        <v>4584</v>
      </c>
      <c r="B4703" s="1">
        <v>15782</v>
      </c>
      <c r="C4703" t="s">
        <v>4571</v>
      </c>
      <c r="D4703" t="s">
        <v>4539</v>
      </c>
    </row>
    <row r="4704" spans="1:4" x14ac:dyDescent="0.25">
      <c r="A4704" s="2" t="s">
        <v>4585</v>
      </c>
      <c r="B4704" s="1">
        <v>15873</v>
      </c>
      <c r="C4704" t="s">
        <v>4571</v>
      </c>
      <c r="D4704" t="s">
        <v>4539</v>
      </c>
    </row>
    <row r="4705" spans="1:4" x14ac:dyDescent="0.25">
      <c r="A4705" s="2" t="s">
        <v>4586</v>
      </c>
      <c r="B4705" s="1">
        <v>15873</v>
      </c>
      <c r="C4705" t="s">
        <v>4571</v>
      </c>
      <c r="D4705" t="s">
        <v>4539</v>
      </c>
    </row>
    <row r="4706" spans="1:4" x14ac:dyDescent="0.25">
      <c r="A4706" s="2" t="s">
        <v>4587</v>
      </c>
      <c r="B4706" s="1">
        <v>15873</v>
      </c>
      <c r="C4706" t="s">
        <v>4571</v>
      </c>
      <c r="D4706" t="s">
        <v>4539</v>
      </c>
    </row>
    <row r="4707" spans="1:4" x14ac:dyDescent="0.25">
      <c r="A4707" s="2" t="s">
        <v>4588</v>
      </c>
      <c r="B4707" s="1">
        <v>15888</v>
      </c>
      <c r="C4707" t="s">
        <v>4571</v>
      </c>
      <c r="D4707" t="s">
        <v>4539</v>
      </c>
    </row>
    <row r="4708" spans="1:4" x14ac:dyDescent="0.25">
      <c r="A4708" s="2" t="s">
        <v>4589</v>
      </c>
      <c r="B4708" s="1">
        <v>15848</v>
      </c>
      <c r="C4708" t="s">
        <v>4571</v>
      </c>
      <c r="D4708" t="s">
        <v>4539</v>
      </c>
    </row>
    <row r="4709" spans="1:4" x14ac:dyDescent="0.25">
      <c r="A4709" s="2" t="s">
        <v>4590</v>
      </c>
      <c r="B4709" s="1">
        <v>15816</v>
      </c>
      <c r="C4709" t="s">
        <v>4571</v>
      </c>
      <c r="D4709" t="s">
        <v>4539</v>
      </c>
    </row>
    <row r="4710" spans="1:4" x14ac:dyDescent="0.25">
      <c r="A4710" s="2" t="s">
        <v>4591</v>
      </c>
      <c r="B4710" s="1">
        <v>15858</v>
      </c>
      <c r="C4710" t="s">
        <v>4571</v>
      </c>
      <c r="D4710" t="s">
        <v>4539</v>
      </c>
    </row>
    <row r="4711" spans="1:4" x14ac:dyDescent="0.25">
      <c r="A4711" s="2" t="s">
        <v>4592</v>
      </c>
      <c r="B4711" s="1">
        <v>15942</v>
      </c>
      <c r="C4711" t="s">
        <v>4571</v>
      </c>
      <c r="D4711" t="s">
        <v>4539</v>
      </c>
    </row>
    <row r="4712" spans="1:4" x14ac:dyDescent="0.25">
      <c r="A4712" s="2" t="s">
        <v>4593</v>
      </c>
      <c r="B4712" s="1">
        <v>15942</v>
      </c>
      <c r="C4712" t="s">
        <v>4571</v>
      </c>
      <c r="D4712" t="s">
        <v>4539</v>
      </c>
    </row>
    <row r="4713" spans="1:4" x14ac:dyDescent="0.25">
      <c r="A4713" s="2" t="s">
        <v>4594</v>
      </c>
      <c r="B4713" s="1">
        <v>15942</v>
      </c>
      <c r="C4713" t="s">
        <v>4571</v>
      </c>
      <c r="D4713" t="s">
        <v>4539</v>
      </c>
    </row>
    <row r="4714" spans="1:4" x14ac:dyDescent="0.25">
      <c r="A4714" s="2" t="s">
        <v>4595</v>
      </c>
      <c r="B4714" s="1">
        <v>15911</v>
      </c>
      <c r="C4714" t="s">
        <v>4571</v>
      </c>
      <c r="D4714" t="s">
        <v>4539</v>
      </c>
    </row>
    <row r="4715" spans="1:4" x14ac:dyDescent="0.25">
      <c r="A4715" s="2" t="s">
        <v>4596</v>
      </c>
      <c r="B4715" s="1">
        <v>15864</v>
      </c>
      <c r="C4715" t="s">
        <v>4571</v>
      </c>
      <c r="D4715" t="s">
        <v>4539</v>
      </c>
    </row>
    <row r="4716" spans="1:4" x14ac:dyDescent="0.25">
      <c r="A4716" s="2" t="s">
        <v>4597</v>
      </c>
      <c r="B4716" s="1">
        <v>15864</v>
      </c>
      <c r="C4716" t="s">
        <v>4571</v>
      </c>
      <c r="D4716" t="s">
        <v>4539</v>
      </c>
    </row>
    <row r="4717" spans="1:4" x14ac:dyDescent="0.25">
      <c r="A4717" s="2" t="s">
        <v>4598</v>
      </c>
      <c r="B4717" s="1">
        <v>15930</v>
      </c>
      <c r="C4717" t="s">
        <v>4571</v>
      </c>
      <c r="D4717" t="s">
        <v>4539</v>
      </c>
    </row>
    <row r="4718" spans="1:4" x14ac:dyDescent="0.25">
      <c r="A4718" s="2" t="s">
        <v>4599</v>
      </c>
      <c r="B4718" s="1">
        <v>15864</v>
      </c>
      <c r="C4718" t="s">
        <v>4571</v>
      </c>
      <c r="D4718" t="s">
        <v>4539</v>
      </c>
    </row>
    <row r="4719" spans="1:4" x14ac:dyDescent="0.25">
      <c r="A4719" s="2" t="s">
        <v>4600</v>
      </c>
      <c r="B4719" s="1">
        <v>15864</v>
      </c>
      <c r="C4719" t="s">
        <v>4571</v>
      </c>
      <c r="D4719" t="s">
        <v>4539</v>
      </c>
    </row>
    <row r="4720" spans="1:4" x14ac:dyDescent="0.25">
      <c r="A4720" s="2" t="s">
        <v>4601</v>
      </c>
      <c r="B4720" s="1">
        <v>15864</v>
      </c>
      <c r="C4720" t="s">
        <v>4602</v>
      </c>
      <c r="D4720" t="s">
        <v>4539</v>
      </c>
    </row>
    <row r="4721" spans="1:4" x14ac:dyDescent="0.25">
      <c r="A4721" s="2" t="s">
        <v>4603</v>
      </c>
      <c r="B4721" s="1">
        <v>15856</v>
      </c>
      <c r="C4721" t="s">
        <v>4602</v>
      </c>
      <c r="D4721" t="s">
        <v>4539</v>
      </c>
    </row>
    <row r="4722" spans="1:4" x14ac:dyDescent="0.25">
      <c r="A4722" s="2" t="s">
        <v>4604</v>
      </c>
      <c r="B4722" s="1">
        <v>15905</v>
      </c>
      <c r="C4722" t="s">
        <v>4602</v>
      </c>
      <c r="D4722" t="s">
        <v>4539</v>
      </c>
    </row>
    <row r="4723" spans="1:4" x14ac:dyDescent="0.25">
      <c r="A4723" s="2" t="s">
        <v>4605</v>
      </c>
      <c r="B4723" s="1">
        <v>15950</v>
      </c>
      <c r="C4723" t="s">
        <v>4602</v>
      </c>
      <c r="D4723" t="s">
        <v>4539</v>
      </c>
    </row>
    <row r="4724" spans="1:4" x14ac:dyDescent="0.25">
      <c r="A4724" s="2" t="s">
        <v>4606</v>
      </c>
      <c r="B4724" s="1">
        <v>15957</v>
      </c>
      <c r="C4724" t="s">
        <v>4602</v>
      </c>
      <c r="D4724" t="s">
        <v>4539</v>
      </c>
    </row>
    <row r="4725" spans="1:4" x14ac:dyDescent="0.25">
      <c r="A4725" s="2" t="s">
        <v>4607</v>
      </c>
      <c r="B4725" s="1">
        <v>15892</v>
      </c>
      <c r="C4725" t="s">
        <v>4602</v>
      </c>
      <c r="D4725" t="s">
        <v>4539</v>
      </c>
    </row>
    <row r="4726" spans="1:4" x14ac:dyDescent="0.25">
      <c r="A4726" s="2" t="s">
        <v>4608</v>
      </c>
      <c r="B4726" s="1">
        <v>15892</v>
      </c>
      <c r="C4726" t="s">
        <v>4602</v>
      </c>
      <c r="D4726" t="s">
        <v>4539</v>
      </c>
    </row>
    <row r="4727" spans="1:4" x14ac:dyDescent="0.25">
      <c r="A4727" s="2" t="s">
        <v>4609</v>
      </c>
      <c r="B4727" s="1">
        <v>15892</v>
      </c>
      <c r="C4727" t="s">
        <v>4602</v>
      </c>
      <c r="D4727" t="s">
        <v>4539</v>
      </c>
    </row>
    <row r="4728" spans="1:4" x14ac:dyDescent="0.25">
      <c r="A4728" s="2" t="s">
        <v>4610</v>
      </c>
      <c r="B4728" s="1">
        <v>15848</v>
      </c>
      <c r="C4728" t="s">
        <v>4602</v>
      </c>
      <c r="D4728" t="s">
        <v>4539</v>
      </c>
    </row>
    <row r="4729" spans="1:4" x14ac:dyDescent="0.25">
      <c r="A4729" s="2" t="s">
        <v>4611</v>
      </c>
      <c r="B4729" s="1">
        <v>15861</v>
      </c>
      <c r="C4729" t="s">
        <v>4602</v>
      </c>
      <c r="D4729" t="s">
        <v>4539</v>
      </c>
    </row>
    <row r="4730" spans="1:4" x14ac:dyDescent="0.25">
      <c r="A4730" s="2" t="s">
        <v>4612</v>
      </c>
      <c r="B4730" s="1">
        <v>15874</v>
      </c>
      <c r="C4730" t="s">
        <v>4602</v>
      </c>
      <c r="D4730" t="s">
        <v>4539</v>
      </c>
    </row>
    <row r="4731" spans="1:4" x14ac:dyDescent="0.25">
      <c r="A4731" s="2" t="s">
        <v>4613</v>
      </c>
      <c r="B4731" s="1">
        <v>15905</v>
      </c>
      <c r="C4731" t="s">
        <v>4602</v>
      </c>
      <c r="D4731" t="s">
        <v>4539</v>
      </c>
    </row>
    <row r="4732" spans="1:4" x14ac:dyDescent="0.25">
      <c r="A4732" s="2" t="s">
        <v>4614</v>
      </c>
      <c r="B4732" s="1">
        <v>15939</v>
      </c>
      <c r="C4732" t="s">
        <v>4602</v>
      </c>
      <c r="D4732" t="s">
        <v>4539</v>
      </c>
    </row>
    <row r="4733" spans="1:4" x14ac:dyDescent="0.25">
      <c r="A4733" s="2" t="s">
        <v>4615</v>
      </c>
      <c r="B4733" s="1">
        <v>15939</v>
      </c>
      <c r="C4733" t="s">
        <v>4602</v>
      </c>
      <c r="D4733" t="s">
        <v>4539</v>
      </c>
    </row>
    <row r="4734" spans="1:4" x14ac:dyDescent="0.25">
      <c r="A4734" s="2" t="s">
        <v>4616</v>
      </c>
      <c r="B4734" s="1">
        <v>15939</v>
      </c>
      <c r="C4734" t="s">
        <v>4602</v>
      </c>
      <c r="D4734" t="s">
        <v>4539</v>
      </c>
    </row>
    <row r="4735" spans="1:4" x14ac:dyDescent="0.25">
      <c r="A4735" s="2" t="s">
        <v>4617</v>
      </c>
      <c r="B4735" s="1">
        <v>15987</v>
      </c>
      <c r="C4735" t="s">
        <v>4602</v>
      </c>
      <c r="D4735" t="s">
        <v>4539</v>
      </c>
    </row>
    <row r="4736" spans="1:4" x14ac:dyDescent="0.25">
      <c r="A4736" s="2" t="s">
        <v>4618</v>
      </c>
      <c r="B4736" s="1">
        <v>16019</v>
      </c>
      <c r="C4736" t="s">
        <v>4602</v>
      </c>
      <c r="D4736" t="s">
        <v>4539</v>
      </c>
    </row>
    <row r="4737" spans="1:4" x14ac:dyDescent="0.25">
      <c r="A4737" s="2" t="s">
        <v>4619</v>
      </c>
      <c r="B4737" s="1">
        <v>16050</v>
      </c>
      <c r="C4737" t="s">
        <v>4602</v>
      </c>
      <c r="D4737" t="s">
        <v>4539</v>
      </c>
    </row>
    <row r="4738" spans="1:4" x14ac:dyDescent="0.25">
      <c r="A4738" s="2" t="s">
        <v>4620</v>
      </c>
      <c r="B4738" s="1">
        <v>16100</v>
      </c>
      <c r="C4738" t="s">
        <v>4602</v>
      </c>
      <c r="D4738" t="s">
        <v>4539</v>
      </c>
    </row>
    <row r="4739" spans="1:4" x14ac:dyDescent="0.25">
      <c r="A4739" s="2" t="s">
        <v>4621</v>
      </c>
      <c r="B4739" s="1">
        <v>16277</v>
      </c>
      <c r="C4739" t="s">
        <v>4602</v>
      </c>
      <c r="D4739" t="s">
        <v>4539</v>
      </c>
    </row>
    <row r="4740" spans="1:4" x14ac:dyDescent="0.25">
      <c r="A4740" s="2" t="s">
        <v>4622</v>
      </c>
      <c r="B4740" s="1">
        <v>16277</v>
      </c>
      <c r="C4740" t="s">
        <v>4602</v>
      </c>
      <c r="D4740" t="s">
        <v>4539</v>
      </c>
    </row>
    <row r="4741" spans="1:4" x14ac:dyDescent="0.25">
      <c r="A4741" s="2" t="s">
        <v>4623</v>
      </c>
      <c r="B4741" s="1">
        <v>16277</v>
      </c>
      <c r="C4741" t="s">
        <v>4602</v>
      </c>
      <c r="D4741" t="s">
        <v>4539</v>
      </c>
    </row>
    <row r="4742" spans="1:4" x14ac:dyDescent="0.25">
      <c r="A4742" s="2" t="s">
        <v>4624</v>
      </c>
      <c r="B4742" s="1">
        <v>16270</v>
      </c>
      <c r="C4742" t="s">
        <v>4602</v>
      </c>
      <c r="D4742" t="s">
        <v>4539</v>
      </c>
    </row>
    <row r="4743" spans="1:4" x14ac:dyDescent="0.25">
      <c r="A4743" s="2" t="s">
        <v>4625</v>
      </c>
      <c r="B4743" s="1">
        <v>16159</v>
      </c>
      <c r="C4743" t="s">
        <v>4602</v>
      </c>
      <c r="D4743" t="s">
        <v>4539</v>
      </c>
    </row>
    <row r="4744" spans="1:4" x14ac:dyDescent="0.25">
      <c r="A4744" s="2" t="s">
        <v>4626</v>
      </c>
      <c r="B4744" s="1">
        <v>16159</v>
      </c>
      <c r="C4744" t="s">
        <v>4602</v>
      </c>
      <c r="D4744" t="s">
        <v>4539</v>
      </c>
    </row>
    <row r="4745" spans="1:4" x14ac:dyDescent="0.25">
      <c r="A4745" s="2" t="s">
        <v>4627</v>
      </c>
      <c r="B4745" s="1">
        <v>16159</v>
      </c>
      <c r="C4745" t="s">
        <v>4602</v>
      </c>
      <c r="D4745" t="s">
        <v>4539</v>
      </c>
    </row>
    <row r="4746" spans="1:4" x14ac:dyDescent="0.25">
      <c r="A4746" s="2" t="s">
        <v>4628</v>
      </c>
      <c r="B4746" s="1">
        <v>16208</v>
      </c>
      <c r="C4746" t="s">
        <v>4602</v>
      </c>
      <c r="D4746" t="s">
        <v>4539</v>
      </c>
    </row>
    <row r="4747" spans="1:4" x14ac:dyDescent="0.25">
      <c r="A4747" s="2" t="s">
        <v>4629</v>
      </c>
      <c r="B4747" s="1">
        <v>16208</v>
      </c>
      <c r="C4747" t="s">
        <v>4602</v>
      </c>
      <c r="D4747" t="s">
        <v>4539</v>
      </c>
    </row>
    <row r="4748" spans="1:4" x14ac:dyDescent="0.25">
      <c r="A4748" s="2" t="s">
        <v>4630</v>
      </c>
      <c r="B4748" s="1">
        <v>16208</v>
      </c>
      <c r="C4748" t="s">
        <v>4602</v>
      </c>
      <c r="D4748" t="s">
        <v>4539</v>
      </c>
    </row>
    <row r="4749" spans="1:4" x14ac:dyDescent="0.25">
      <c r="A4749" s="2" t="s">
        <v>4631</v>
      </c>
      <c r="B4749" s="1">
        <v>16251</v>
      </c>
      <c r="C4749" t="s">
        <v>4602</v>
      </c>
      <c r="D4749" t="s">
        <v>4539</v>
      </c>
    </row>
    <row r="4750" spans="1:4" x14ac:dyDescent="0.25">
      <c r="A4750" s="2" t="s">
        <v>4632</v>
      </c>
      <c r="B4750" s="1">
        <v>16162</v>
      </c>
      <c r="C4750" t="s">
        <v>4602</v>
      </c>
      <c r="D4750" t="s">
        <v>4539</v>
      </c>
    </row>
    <row r="4751" spans="1:4" x14ac:dyDescent="0.25">
      <c r="A4751" s="2" t="s">
        <v>4633</v>
      </c>
      <c r="B4751" s="1">
        <v>16162</v>
      </c>
      <c r="C4751" t="s">
        <v>4634</v>
      </c>
      <c r="D4751" t="s">
        <v>4635</v>
      </c>
    </row>
    <row r="4752" spans="1:4" x14ac:dyDescent="0.25">
      <c r="A4752" s="2" t="s">
        <v>4636</v>
      </c>
      <c r="B4752" s="1">
        <v>16157</v>
      </c>
      <c r="C4752" t="s">
        <v>4634</v>
      </c>
      <c r="D4752" t="s">
        <v>4635</v>
      </c>
    </row>
    <row r="4753" spans="1:4" x14ac:dyDescent="0.25">
      <c r="A4753" s="2" t="s">
        <v>4637</v>
      </c>
      <c r="B4753" s="1">
        <v>16236</v>
      </c>
      <c r="C4753" t="s">
        <v>4634</v>
      </c>
      <c r="D4753" t="s">
        <v>4635</v>
      </c>
    </row>
    <row r="4754" spans="1:4" x14ac:dyDescent="0.25">
      <c r="A4754" s="2" t="s">
        <v>4638</v>
      </c>
      <c r="B4754" s="1">
        <v>16236</v>
      </c>
      <c r="C4754" t="s">
        <v>4634</v>
      </c>
      <c r="D4754" t="s">
        <v>4635</v>
      </c>
    </row>
    <row r="4755" spans="1:4" x14ac:dyDescent="0.25">
      <c r="A4755" s="2" t="s">
        <v>4639</v>
      </c>
      <c r="B4755" s="1">
        <v>16236</v>
      </c>
      <c r="C4755" t="s">
        <v>4634</v>
      </c>
      <c r="D4755" t="s">
        <v>4635</v>
      </c>
    </row>
    <row r="4756" spans="1:4" x14ac:dyDescent="0.25">
      <c r="A4756" s="2" t="s">
        <v>4640</v>
      </c>
      <c r="B4756" s="1">
        <v>16217</v>
      </c>
      <c r="C4756" t="s">
        <v>4634</v>
      </c>
      <c r="D4756" t="s">
        <v>4635</v>
      </c>
    </row>
    <row r="4757" spans="1:4" x14ac:dyDescent="0.25">
      <c r="A4757" s="2" t="s">
        <v>4641</v>
      </c>
      <c r="B4757" s="1">
        <v>16193</v>
      </c>
      <c r="C4757" t="s">
        <v>4634</v>
      </c>
      <c r="D4757" t="s">
        <v>4635</v>
      </c>
    </row>
    <row r="4758" spans="1:4" x14ac:dyDescent="0.25">
      <c r="A4758" s="2" t="s">
        <v>4642</v>
      </c>
      <c r="B4758" s="1">
        <v>16169</v>
      </c>
      <c r="C4758" t="s">
        <v>4634</v>
      </c>
      <c r="D4758" t="s">
        <v>4635</v>
      </c>
    </row>
    <row r="4759" spans="1:4" x14ac:dyDescent="0.25">
      <c r="A4759" s="2" t="s">
        <v>4643</v>
      </c>
      <c r="B4759" s="1">
        <v>16201</v>
      </c>
      <c r="C4759" t="s">
        <v>4634</v>
      </c>
      <c r="D4759" t="s">
        <v>4635</v>
      </c>
    </row>
    <row r="4760" spans="1:4" x14ac:dyDescent="0.25">
      <c r="A4760" s="2" t="s">
        <v>4644</v>
      </c>
      <c r="B4760" s="1">
        <v>16238</v>
      </c>
      <c r="C4760" t="s">
        <v>4634</v>
      </c>
      <c r="D4760" t="s">
        <v>4635</v>
      </c>
    </row>
    <row r="4761" spans="1:4" x14ac:dyDescent="0.25">
      <c r="A4761" s="2" t="s">
        <v>4645</v>
      </c>
      <c r="B4761" s="1">
        <v>16238</v>
      </c>
      <c r="C4761" t="s">
        <v>4634</v>
      </c>
      <c r="D4761" t="s">
        <v>4635</v>
      </c>
    </row>
    <row r="4762" spans="1:4" x14ac:dyDescent="0.25">
      <c r="A4762" s="2" t="s">
        <v>4646</v>
      </c>
      <c r="B4762" s="1">
        <v>16238</v>
      </c>
      <c r="C4762" t="s">
        <v>4634</v>
      </c>
      <c r="D4762" t="s">
        <v>4635</v>
      </c>
    </row>
    <row r="4763" spans="1:4" x14ac:dyDescent="0.25">
      <c r="A4763" s="2" t="s">
        <v>4647</v>
      </c>
      <c r="B4763" s="1">
        <v>16194</v>
      </c>
      <c r="C4763" t="s">
        <v>4634</v>
      </c>
      <c r="D4763" t="s">
        <v>4635</v>
      </c>
    </row>
    <row r="4764" spans="1:4" x14ac:dyDescent="0.25">
      <c r="A4764" s="2" t="s">
        <v>4648</v>
      </c>
      <c r="B4764" s="1">
        <v>16281</v>
      </c>
      <c r="C4764" t="s">
        <v>4634</v>
      </c>
      <c r="D4764" t="s">
        <v>4635</v>
      </c>
    </row>
    <row r="4765" spans="1:4" x14ac:dyDescent="0.25">
      <c r="A4765" s="2" t="s">
        <v>4649</v>
      </c>
      <c r="B4765" s="1">
        <v>16265</v>
      </c>
      <c r="C4765" t="s">
        <v>4634</v>
      </c>
      <c r="D4765" t="s">
        <v>4635</v>
      </c>
    </row>
    <row r="4766" spans="1:4" x14ac:dyDescent="0.25">
      <c r="A4766" s="2" t="s">
        <v>4650</v>
      </c>
      <c r="B4766" s="1">
        <v>16311</v>
      </c>
      <c r="C4766" t="s">
        <v>4634</v>
      </c>
      <c r="D4766" t="s">
        <v>4635</v>
      </c>
    </row>
    <row r="4767" spans="1:4" x14ac:dyDescent="0.25">
      <c r="A4767" s="2" t="s">
        <v>4651</v>
      </c>
      <c r="B4767" s="1">
        <v>16378</v>
      </c>
      <c r="C4767" t="s">
        <v>4634</v>
      </c>
      <c r="D4767" t="s">
        <v>4635</v>
      </c>
    </row>
    <row r="4768" spans="1:4" x14ac:dyDescent="0.25">
      <c r="A4768" s="2" t="s">
        <v>4652</v>
      </c>
      <c r="B4768" s="1">
        <v>16378</v>
      </c>
      <c r="C4768" t="s">
        <v>4634</v>
      </c>
      <c r="D4768" t="s">
        <v>4635</v>
      </c>
    </row>
    <row r="4769" spans="1:4" x14ac:dyDescent="0.25">
      <c r="A4769" s="2" t="s">
        <v>4653</v>
      </c>
      <c r="B4769" s="1">
        <v>16378</v>
      </c>
      <c r="C4769" t="s">
        <v>4634</v>
      </c>
      <c r="D4769" t="s">
        <v>4635</v>
      </c>
    </row>
    <row r="4770" spans="1:4" x14ac:dyDescent="0.25">
      <c r="A4770" s="2" t="s">
        <v>4654</v>
      </c>
      <c r="B4770" s="1">
        <v>16373</v>
      </c>
      <c r="C4770" t="s">
        <v>4634</v>
      </c>
      <c r="D4770" t="s">
        <v>4635</v>
      </c>
    </row>
    <row r="4771" spans="1:4" x14ac:dyDescent="0.25">
      <c r="A4771" s="2" t="s">
        <v>4655</v>
      </c>
      <c r="B4771" s="1">
        <v>16372</v>
      </c>
      <c r="C4771" t="s">
        <v>4634</v>
      </c>
      <c r="D4771" t="s">
        <v>4635</v>
      </c>
    </row>
    <row r="4772" spans="1:4" x14ac:dyDescent="0.25">
      <c r="A4772" s="2" t="s">
        <v>4656</v>
      </c>
      <c r="B4772" s="1">
        <v>16331</v>
      </c>
      <c r="C4772" t="s">
        <v>4634</v>
      </c>
      <c r="D4772" t="s">
        <v>4635</v>
      </c>
    </row>
    <row r="4773" spans="1:4" x14ac:dyDescent="0.25">
      <c r="A4773" s="2" t="s">
        <v>4657</v>
      </c>
      <c r="B4773" s="1">
        <v>16327</v>
      </c>
      <c r="C4773" t="s">
        <v>4634</v>
      </c>
      <c r="D4773" t="s">
        <v>4635</v>
      </c>
    </row>
    <row r="4774" spans="1:4" x14ac:dyDescent="0.25">
      <c r="A4774" s="2" t="s">
        <v>4658</v>
      </c>
      <c r="B4774" s="1">
        <v>16276</v>
      </c>
      <c r="C4774" t="s">
        <v>4634</v>
      </c>
      <c r="D4774" t="s">
        <v>4635</v>
      </c>
    </row>
    <row r="4775" spans="1:4" x14ac:dyDescent="0.25">
      <c r="A4775" s="2" t="s">
        <v>4659</v>
      </c>
      <c r="B4775" s="1">
        <v>16276</v>
      </c>
      <c r="C4775" t="s">
        <v>4634</v>
      </c>
      <c r="D4775" t="s">
        <v>4635</v>
      </c>
    </row>
    <row r="4776" spans="1:4" x14ac:dyDescent="0.25">
      <c r="A4776" s="2" t="s">
        <v>4660</v>
      </c>
      <c r="B4776" s="1">
        <v>16276</v>
      </c>
      <c r="C4776" t="s">
        <v>4634</v>
      </c>
      <c r="D4776" t="s">
        <v>4635</v>
      </c>
    </row>
    <row r="4777" spans="1:4" x14ac:dyDescent="0.25">
      <c r="A4777" s="2" t="s">
        <v>4661</v>
      </c>
      <c r="B4777" s="1">
        <v>16276</v>
      </c>
      <c r="C4777" t="s">
        <v>4634</v>
      </c>
      <c r="D4777" t="s">
        <v>4635</v>
      </c>
    </row>
    <row r="4778" spans="1:4" x14ac:dyDescent="0.25">
      <c r="A4778" s="2" t="s">
        <v>4662</v>
      </c>
      <c r="B4778" s="1">
        <v>16276</v>
      </c>
      <c r="C4778" t="s">
        <v>4634</v>
      </c>
      <c r="D4778" t="s">
        <v>4635</v>
      </c>
    </row>
    <row r="4779" spans="1:4" x14ac:dyDescent="0.25">
      <c r="A4779" s="2" t="s">
        <v>4663</v>
      </c>
      <c r="B4779" s="1">
        <v>16276</v>
      </c>
      <c r="C4779" t="s">
        <v>4634</v>
      </c>
      <c r="D4779" t="s">
        <v>4635</v>
      </c>
    </row>
    <row r="4780" spans="1:4" x14ac:dyDescent="0.25">
      <c r="A4780" s="2" t="s">
        <v>4664</v>
      </c>
      <c r="B4780" s="1">
        <v>16200</v>
      </c>
      <c r="C4780" t="s">
        <v>4634</v>
      </c>
      <c r="D4780" t="s">
        <v>4635</v>
      </c>
    </row>
    <row r="4781" spans="1:4" x14ac:dyDescent="0.25">
      <c r="A4781" s="2" t="s">
        <v>4665</v>
      </c>
      <c r="B4781" s="1">
        <v>16259</v>
      </c>
      <c r="C4781" t="s">
        <v>4634</v>
      </c>
      <c r="D4781" t="s">
        <v>4635</v>
      </c>
    </row>
    <row r="4782" spans="1:4" x14ac:dyDescent="0.25">
      <c r="A4782" s="2" t="s">
        <v>4666</v>
      </c>
      <c r="B4782" s="1">
        <v>16259</v>
      </c>
      <c r="C4782" t="s">
        <v>4667</v>
      </c>
      <c r="D4782" t="s">
        <v>4635</v>
      </c>
    </row>
    <row r="4783" spans="1:4" x14ac:dyDescent="0.25">
      <c r="A4783" s="2" t="s">
        <v>4668</v>
      </c>
      <c r="B4783" s="1">
        <v>16259</v>
      </c>
      <c r="C4783" t="s">
        <v>4667</v>
      </c>
      <c r="D4783" t="s">
        <v>4635</v>
      </c>
    </row>
    <row r="4784" spans="1:4" x14ac:dyDescent="0.25">
      <c r="A4784" s="2" t="s">
        <v>4669</v>
      </c>
      <c r="B4784" s="1">
        <v>16312</v>
      </c>
      <c r="C4784" t="s">
        <v>4667</v>
      </c>
      <c r="D4784" t="s">
        <v>4635</v>
      </c>
    </row>
    <row r="4785" spans="1:4" x14ac:dyDescent="0.25">
      <c r="A4785" s="2" t="s">
        <v>4670</v>
      </c>
      <c r="B4785" s="1">
        <v>16453</v>
      </c>
      <c r="C4785" t="s">
        <v>4667</v>
      </c>
      <c r="D4785" t="s">
        <v>4635</v>
      </c>
    </row>
    <row r="4786" spans="1:4" x14ac:dyDescent="0.25">
      <c r="A4786" s="2" t="s">
        <v>4671</v>
      </c>
      <c r="B4786" s="1">
        <v>16365</v>
      </c>
      <c r="C4786" t="s">
        <v>4667</v>
      </c>
      <c r="D4786" t="s">
        <v>4635</v>
      </c>
    </row>
    <row r="4787" spans="1:4" x14ac:dyDescent="0.25">
      <c r="A4787" s="2" t="s">
        <v>4672</v>
      </c>
      <c r="B4787" s="1">
        <v>16308</v>
      </c>
      <c r="C4787" t="s">
        <v>4667</v>
      </c>
      <c r="D4787" t="s">
        <v>4635</v>
      </c>
    </row>
    <row r="4788" spans="1:4" x14ac:dyDescent="0.25">
      <c r="A4788" s="2" t="s">
        <v>4673</v>
      </c>
      <c r="B4788" s="1">
        <v>16330</v>
      </c>
      <c r="C4788" t="s">
        <v>4667</v>
      </c>
      <c r="D4788" t="s">
        <v>4635</v>
      </c>
    </row>
    <row r="4789" spans="1:4" x14ac:dyDescent="0.25">
      <c r="A4789" s="2" t="s">
        <v>4674</v>
      </c>
      <c r="B4789" s="1">
        <v>16330</v>
      </c>
      <c r="C4789" t="s">
        <v>4667</v>
      </c>
      <c r="D4789" t="s">
        <v>4635</v>
      </c>
    </row>
    <row r="4790" spans="1:4" x14ac:dyDescent="0.25">
      <c r="A4790" s="2" t="s">
        <v>4675</v>
      </c>
      <c r="B4790" s="1">
        <v>16330</v>
      </c>
      <c r="C4790" t="s">
        <v>4667</v>
      </c>
      <c r="D4790" t="s">
        <v>4635</v>
      </c>
    </row>
    <row r="4791" spans="1:4" x14ac:dyDescent="0.25">
      <c r="A4791" s="2" t="s">
        <v>4676</v>
      </c>
      <c r="B4791" s="1">
        <v>16325</v>
      </c>
      <c r="C4791" t="s">
        <v>4667</v>
      </c>
      <c r="D4791" t="s">
        <v>4635</v>
      </c>
    </row>
    <row r="4792" spans="1:4" x14ac:dyDescent="0.25">
      <c r="A4792" s="2" t="s">
        <v>4677</v>
      </c>
      <c r="B4792" s="1">
        <v>16350</v>
      </c>
      <c r="C4792" t="s">
        <v>4667</v>
      </c>
      <c r="D4792" t="s">
        <v>4635</v>
      </c>
    </row>
    <row r="4793" spans="1:4" x14ac:dyDescent="0.25">
      <c r="A4793" s="2" t="s">
        <v>4678</v>
      </c>
      <c r="B4793" s="1">
        <v>16380</v>
      </c>
      <c r="C4793" t="s">
        <v>4667</v>
      </c>
      <c r="D4793" t="s">
        <v>4635</v>
      </c>
    </row>
    <row r="4794" spans="1:4" x14ac:dyDescent="0.25">
      <c r="A4794" s="2" t="s">
        <v>4679</v>
      </c>
      <c r="B4794" s="1">
        <v>16364</v>
      </c>
      <c r="C4794" t="s">
        <v>4667</v>
      </c>
      <c r="D4794" t="s">
        <v>4635</v>
      </c>
    </row>
    <row r="4795" spans="1:4" x14ac:dyDescent="0.25">
      <c r="A4795" s="2" t="s">
        <v>4680</v>
      </c>
      <c r="B4795" s="1">
        <v>16365</v>
      </c>
      <c r="C4795" t="s">
        <v>4667</v>
      </c>
      <c r="D4795" t="s">
        <v>4635</v>
      </c>
    </row>
    <row r="4796" spans="1:4" x14ac:dyDescent="0.25">
      <c r="A4796" s="2" t="s">
        <v>4681</v>
      </c>
      <c r="B4796" s="1">
        <v>16365</v>
      </c>
      <c r="C4796" t="s">
        <v>4667</v>
      </c>
      <c r="D4796" t="s">
        <v>4635</v>
      </c>
    </row>
    <row r="4797" spans="1:4" x14ac:dyDescent="0.25">
      <c r="A4797" s="2" t="s">
        <v>4682</v>
      </c>
      <c r="B4797" s="1">
        <v>16365</v>
      </c>
      <c r="C4797" t="s">
        <v>4667</v>
      </c>
      <c r="D4797" t="s">
        <v>4635</v>
      </c>
    </row>
    <row r="4798" spans="1:4" x14ac:dyDescent="0.25">
      <c r="A4798" s="2" t="s">
        <v>4683</v>
      </c>
      <c r="B4798" s="1">
        <v>16285</v>
      </c>
      <c r="C4798" t="s">
        <v>4667</v>
      </c>
      <c r="D4798" t="s">
        <v>4635</v>
      </c>
    </row>
    <row r="4799" spans="1:4" x14ac:dyDescent="0.25">
      <c r="A4799" s="2" t="s">
        <v>4684</v>
      </c>
      <c r="B4799" s="1">
        <v>16208</v>
      </c>
      <c r="C4799" t="s">
        <v>4667</v>
      </c>
      <c r="D4799" t="s">
        <v>4635</v>
      </c>
    </row>
    <row r="4800" spans="1:4" x14ac:dyDescent="0.25">
      <c r="A4800" s="2" t="s">
        <v>4685</v>
      </c>
      <c r="B4800" s="1">
        <v>16275</v>
      </c>
      <c r="C4800" t="s">
        <v>4667</v>
      </c>
      <c r="D4800" t="s">
        <v>4635</v>
      </c>
    </row>
    <row r="4801" spans="1:4" x14ac:dyDescent="0.25">
      <c r="A4801" s="2" t="s">
        <v>4686</v>
      </c>
      <c r="B4801" s="1">
        <v>16357</v>
      </c>
      <c r="C4801" t="s">
        <v>4667</v>
      </c>
      <c r="D4801" t="s">
        <v>4635</v>
      </c>
    </row>
    <row r="4802" spans="1:4" x14ac:dyDescent="0.25">
      <c r="A4802" s="2" t="s">
        <v>4687</v>
      </c>
      <c r="B4802" s="1">
        <v>16344</v>
      </c>
      <c r="C4802" t="s">
        <v>4667</v>
      </c>
      <c r="D4802" t="s">
        <v>4635</v>
      </c>
    </row>
    <row r="4803" spans="1:4" x14ac:dyDescent="0.25">
      <c r="A4803" s="2" t="s">
        <v>4688</v>
      </c>
      <c r="B4803" s="1">
        <v>16344</v>
      </c>
      <c r="C4803" t="s">
        <v>4667</v>
      </c>
      <c r="D4803" t="s">
        <v>4635</v>
      </c>
    </row>
    <row r="4804" spans="1:4" x14ac:dyDescent="0.25">
      <c r="A4804" s="2" t="s">
        <v>4689</v>
      </c>
      <c r="B4804" s="1">
        <v>16344</v>
      </c>
      <c r="C4804" t="s">
        <v>4667</v>
      </c>
      <c r="D4804" t="s">
        <v>4635</v>
      </c>
    </row>
    <row r="4805" spans="1:4" x14ac:dyDescent="0.25">
      <c r="A4805" s="2" t="s">
        <v>4690</v>
      </c>
      <c r="B4805" s="1">
        <v>16300</v>
      </c>
      <c r="C4805" t="s">
        <v>4667</v>
      </c>
      <c r="D4805" t="s">
        <v>4635</v>
      </c>
    </row>
    <row r="4806" spans="1:4" x14ac:dyDescent="0.25">
      <c r="A4806" s="2" t="s">
        <v>4691</v>
      </c>
      <c r="B4806" s="1">
        <v>16303</v>
      </c>
      <c r="C4806" t="s">
        <v>4667</v>
      </c>
      <c r="D4806" t="s">
        <v>4635</v>
      </c>
    </row>
    <row r="4807" spans="1:4" x14ac:dyDescent="0.25">
      <c r="A4807" s="2" t="s">
        <v>4692</v>
      </c>
      <c r="B4807" s="1">
        <v>16316</v>
      </c>
      <c r="C4807" t="s">
        <v>4667</v>
      </c>
      <c r="D4807" t="s">
        <v>4635</v>
      </c>
    </row>
    <row r="4808" spans="1:4" x14ac:dyDescent="0.25">
      <c r="A4808" s="2" t="s">
        <v>4693</v>
      </c>
      <c r="B4808" s="1">
        <v>16387</v>
      </c>
      <c r="C4808" t="s">
        <v>4667</v>
      </c>
      <c r="D4808" t="s">
        <v>4635</v>
      </c>
    </row>
    <row r="4809" spans="1:4" x14ac:dyDescent="0.25">
      <c r="A4809" s="2" t="s">
        <v>4694</v>
      </c>
      <c r="B4809" s="1">
        <v>16431</v>
      </c>
      <c r="C4809" t="s">
        <v>4667</v>
      </c>
      <c r="D4809" t="s">
        <v>4635</v>
      </c>
    </row>
    <row r="4810" spans="1:4" x14ac:dyDescent="0.25">
      <c r="A4810" s="2" t="s">
        <v>4695</v>
      </c>
      <c r="B4810" s="1">
        <v>16431</v>
      </c>
      <c r="C4810" t="s">
        <v>4696</v>
      </c>
      <c r="D4810" t="s">
        <v>4635</v>
      </c>
    </row>
    <row r="4811" spans="1:4" x14ac:dyDescent="0.25">
      <c r="A4811" s="2" t="s">
        <v>4697</v>
      </c>
      <c r="B4811" s="1">
        <v>16431</v>
      </c>
      <c r="C4811" t="s">
        <v>4696</v>
      </c>
      <c r="D4811" t="s">
        <v>4635</v>
      </c>
    </row>
    <row r="4812" spans="1:4" x14ac:dyDescent="0.25">
      <c r="A4812" s="2" t="s">
        <v>4698</v>
      </c>
      <c r="B4812" s="1">
        <v>16575</v>
      </c>
      <c r="C4812" t="s">
        <v>4696</v>
      </c>
      <c r="D4812" t="s">
        <v>4635</v>
      </c>
    </row>
    <row r="4813" spans="1:4" x14ac:dyDescent="0.25">
      <c r="A4813" s="2" t="s">
        <v>4699</v>
      </c>
      <c r="B4813" s="1">
        <v>16506</v>
      </c>
      <c r="C4813" t="s">
        <v>4696</v>
      </c>
      <c r="D4813" t="s">
        <v>4635</v>
      </c>
    </row>
    <row r="4814" spans="1:4" x14ac:dyDescent="0.25">
      <c r="A4814" s="2" t="s">
        <v>4700</v>
      </c>
      <c r="B4814" s="1">
        <v>16443</v>
      </c>
      <c r="C4814" t="s">
        <v>4696</v>
      </c>
      <c r="D4814" t="s">
        <v>4635</v>
      </c>
    </row>
    <row r="4815" spans="1:4" x14ac:dyDescent="0.25">
      <c r="A4815" s="2" t="s">
        <v>4701</v>
      </c>
      <c r="B4815" s="1">
        <v>16371</v>
      </c>
      <c r="C4815" t="s">
        <v>4696</v>
      </c>
      <c r="D4815" t="s">
        <v>4635</v>
      </c>
    </row>
    <row r="4816" spans="1:4" x14ac:dyDescent="0.25">
      <c r="A4816" s="2" t="s">
        <v>4702</v>
      </c>
      <c r="B4816" s="1">
        <v>16315</v>
      </c>
      <c r="C4816" t="s">
        <v>4696</v>
      </c>
      <c r="D4816" t="s">
        <v>4635</v>
      </c>
    </row>
    <row r="4817" spans="1:4" x14ac:dyDescent="0.25">
      <c r="A4817" s="2" t="s">
        <v>4703</v>
      </c>
      <c r="B4817" s="1">
        <v>16315</v>
      </c>
      <c r="C4817" t="s">
        <v>4696</v>
      </c>
      <c r="D4817" t="s">
        <v>4635</v>
      </c>
    </row>
    <row r="4818" spans="1:4" x14ac:dyDescent="0.25">
      <c r="A4818" s="2" t="s">
        <v>4704</v>
      </c>
      <c r="B4818" s="1">
        <v>16315</v>
      </c>
      <c r="C4818" t="s">
        <v>4696</v>
      </c>
      <c r="D4818" t="s">
        <v>4635</v>
      </c>
    </row>
    <row r="4819" spans="1:4" x14ac:dyDescent="0.25">
      <c r="A4819" s="2" t="s">
        <v>4705</v>
      </c>
      <c r="B4819" s="1">
        <v>16336</v>
      </c>
      <c r="C4819" t="s">
        <v>4696</v>
      </c>
      <c r="D4819" t="s">
        <v>4635</v>
      </c>
    </row>
    <row r="4820" spans="1:4" x14ac:dyDescent="0.25">
      <c r="A4820" s="2" t="s">
        <v>4706</v>
      </c>
      <c r="B4820" s="1">
        <v>16326</v>
      </c>
      <c r="C4820" t="s">
        <v>4696</v>
      </c>
      <c r="D4820" t="s">
        <v>4635</v>
      </c>
    </row>
    <row r="4821" spans="1:4" x14ac:dyDescent="0.25">
      <c r="A4821" s="2" t="s">
        <v>4707</v>
      </c>
      <c r="B4821" s="1">
        <v>16430</v>
      </c>
      <c r="C4821" t="s">
        <v>4696</v>
      </c>
      <c r="D4821" t="s">
        <v>4635</v>
      </c>
    </row>
    <row r="4822" spans="1:4" x14ac:dyDescent="0.25">
      <c r="A4822" s="2" t="s">
        <v>4708</v>
      </c>
      <c r="B4822" s="1">
        <v>16453</v>
      </c>
      <c r="C4822" t="s">
        <v>4696</v>
      </c>
      <c r="D4822" t="s">
        <v>4635</v>
      </c>
    </row>
    <row r="4823" spans="1:4" x14ac:dyDescent="0.25">
      <c r="A4823" s="2" t="s">
        <v>4709</v>
      </c>
      <c r="B4823" s="1">
        <v>16428</v>
      </c>
      <c r="C4823" t="s">
        <v>4696</v>
      </c>
      <c r="D4823" t="s">
        <v>4635</v>
      </c>
    </row>
    <row r="4824" spans="1:4" x14ac:dyDescent="0.25">
      <c r="A4824" s="2" t="s">
        <v>4710</v>
      </c>
      <c r="B4824" s="1">
        <v>16428</v>
      </c>
      <c r="C4824" t="s">
        <v>4696</v>
      </c>
      <c r="D4824" t="s">
        <v>4635</v>
      </c>
    </row>
    <row r="4825" spans="1:4" x14ac:dyDescent="0.25">
      <c r="A4825" s="2" t="s">
        <v>4711</v>
      </c>
      <c r="B4825" s="1">
        <v>16428</v>
      </c>
      <c r="C4825" t="s">
        <v>4696</v>
      </c>
      <c r="D4825" t="s">
        <v>4635</v>
      </c>
    </row>
    <row r="4826" spans="1:4" x14ac:dyDescent="0.25">
      <c r="A4826" s="2" t="s">
        <v>4712</v>
      </c>
      <c r="B4826" s="1">
        <v>16392</v>
      </c>
      <c r="C4826" t="s">
        <v>4696</v>
      </c>
      <c r="D4826" t="s">
        <v>4635</v>
      </c>
    </row>
    <row r="4827" spans="1:4" x14ac:dyDescent="0.25">
      <c r="A4827" s="2" t="s">
        <v>4713</v>
      </c>
      <c r="B4827" s="1">
        <v>16379</v>
      </c>
      <c r="C4827" t="s">
        <v>4696</v>
      </c>
      <c r="D4827" t="s">
        <v>4635</v>
      </c>
    </row>
    <row r="4828" spans="1:4" x14ac:dyDescent="0.25">
      <c r="A4828" s="2" t="s">
        <v>4714</v>
      </c>
      <c r="B4828" s="1">
        <v>16432</v>
      </c>
      <c r="C4828" t="s">
        <v>4696</v>
      </c>
      <c r="D4828" t="s">
        <v>4635</v>
      </c>
    </row>
    <row r="4829" spans="1:4" x14ac:dyDescent="0.25">
      <c r="A4829" s="2" t="s">
        <v>4715</v>
      </c>
      <c r="B4829" s="1">
        <v>16528</v>
      </c>
      <c r="C4829" t="s">
        <v>4696</v>
      </c>
      <c r="D4829" t="s">
        <v>4635</v>
      </c>
    </row>
    <row r="4830" spans="1:4" x14ac:dyDescent="0.25">
      <c r="A4830" s="2" t="s">
        <v>4716</v>
      </c>
      <c r="B4830" s="1">
        <v>16481</v>
      </c>
      <c r="C4830" t="s">
        <v>4696</v>
      </c>
      <c r="D4830" t="s">
        <v>4635</v>
      </c>
    </row>
    <row r="4831" spans="1:4" x14ac:dyDescent="0.25">
      <c r="A4831" s="2" t="s">
        <v>4717</v>
      </c>
      <c r="B4831" s="1">
        <v>16481</v>
      </c>
      <c r="C4831" t="s">
        <v>4696</v>
      </c>
      <c r="D4831" t="s">
        <v>4635</v>
      </c>
    </row>
    <row r="4832" spans="1:4" x14ac:dyDescent="0.25">
      <c r="A4832" s="2" t="s">
        <v>4718</v>
      </c>
      <c r="B4832" s="1">
        <v>16481</v>
      </c>
      <c r="C4832" t="s">
        <v>4696</v>
      </c>
      <c r="D4832" t="s">
        <v>4635</v>
      </c>
    </row>
    <row r="4833" spans="1:4" x14ac:dyDescent="0.25">
      <c r="A4833" s="2" t="s">
        <v>4719</v>
      </c>
      <c r="B4833" s="1">
        <v>16501</v>
      </c>
      <c r="C4833" t="s">
        <v>4696</v>
      </c>
      <c r="D4833" t="s">
        <v>4635</v>
      </c>
    </row>
    <row r="4834" spans="1:4" x14ac:dyDescent="0.25">
      <c r="A4834" s="2" t="s">
        <v>4720</v>
      </c>
      <c r="B4834" s="1">
        <v>16561</v>
      </c>
      <c r="C4834" t="s">
        <v>4696</v>
      </c>
      <c r="D4834" t="s">
        <v>4635</v>
      </c>
    </row>
    <row r="4835" spans="1:4" x14ac:dyDescent="0.25">
      <c r="A4835" s="2" t="s">
        <v>4721</v>
      </c>
      <c r="B4835" s="1">
        <v>16622</v>
      </c>
      <c r="C4835" t="s">
        <v>4696</v>
      </c>
      <c r="D4835" t="s">
        <v>4635</v>
      </c>
    </row>
    <row r="4836" spans="1:4" x14ac:dyDescent="0.25">
      <c r="A4836" s="2" t="s">
        <v>4722</v>
      </c>
      <c r="B4836" s="1">
        <v>16588</v>
      </c>
      <c r="C4836" t="s">
        <v>4696</v>
      </c>
      <c r="D4836" t="s">
        <v>4635</v>
      </c>
    </row>
    <row r="4837" spans="1:4" x14ac:dyDescent="0.25">
      <c r="A4837" s="2" t="s">
        <v>4723</v>
      </c>
      <c r="B4837" s="1">
        <v>16588</v>
      </c>
      <c r="C4837" t="s">
        <v>4696</v>
      </c>
      <c r="D4837" t="s">
        <v>4635</v>
      </c>
    </row>
    <row r="4838" spans="1:4" x14ac:dyDescent="0.25">
      <c r="A4838" s="2" t="s">
        <v>4724</v>
      </c>
      <c r="B4838" s="1">
        <v>16588</v>
      </c>
      <c r="C4838" t="s">
        <v>4696</v>
      </c>
      <c r="D4838" t="s">
        <v>4635</v>
      </c>
    </row>
    <row r="4839" spans="1:4" x14ac:dyDescent="0.25">
      <c r="A4839" s="2" t="s">
        <v>4725</v>
      </c>
      <c r="B4839" s="1">
        <v>16588</v>
      </c>
      <c r="C4839" t="s">
        <v>4696</v>
      </c>
      <c r="D4839" t="s">
        <v>4635</v>
      </c>
    </row>
    <row r="4840" spans="1:4" x14ac:dyDescent="0.25">
      <c r="A4840" s="2" t="s">
        <v>4726</v>
      </c>
      <c r="B4840" s="1">
        <v>16588</v>
      </c>
      <c r="C4840" t="s">
        <v>4696</v>
      </c>
      <c r="D4840" t="s">
        <v>4635</v>
      </c>
    </row>
    <row r="4841" spans="1:4" x14ac:dyDescent="0.25">
      <c r="A4841" s="2" t="s">
        <v>4727</v>
      </c>
      <c r="B4841" s="1">
        <v>16588</v>
      </c>
      <c r="C4841" t="s">
        <v>4728</v>
      </c>
      <c r="D4841" t="s">
        <v>4729</v>
      </c>
    </row>
    <row r="4842" spans="1:4" x14ac:dyDescent="0.25">
      <c r="A4842" s="2" t="s">
        <v>4730</v>
      </c>
      <c r="B4842" s="1">
        <v>16588</v>
      </c>
      <c r="C4842" t="s">
        <v>4728</v>
      </c>
      <c r="D4842" t="s">
        <v>4729</v>
      </c>
    </row>
    <row r="4843" spans="1:4" x14ac:dyDescent="0.25">
      <c r="A4843" s="2" t="s">
        <v>4731</v>
      </c>
      <c r="B4843" s="1">
        <v>16588</v>
      </c>
      <c r="C4843" t="s">
        <v>4728</v>
      </c>
      <c r="D4843" t="s">
        <v>4729</v>
      </c>
    </row>
    <row r="4844" spans="1:4" x14ac:dyDescent="0.25">
      <c r="A4844" s="2" t="s">
        <v>4732</v>
      </c>
      <c r="B4844" s="1">
        <v>16588</v>
      </c>
      <c r="C4844" t="s">
        <v>4728</v>
      </c>
      <c r="D4844" t="s">
        <v>4729</v>
      </c>
    </row>
    <row r="4845" spans="1:4" x14ac:dyDescent="0.25">
      <c r="A4845" s="2" t="s">
        <v>4733</v>
      </c>
      <c r="B4845" s="1">
        <v>16588</v>
      </c>
      <c r="C4845" t="s">
        <v>4728</v>
      </c>
      <c r="D4845" t="s">
        <v>4729</v>
      </c>
    </row>
    <row r="4846" spans="1:4" x14ac:dyDescent="0.25">
      <c r="A4846" s="2" t="s">
        <v>4734</v>
      </c>
      <c r="B4846" s="1">
        <v>16588</v>
      </c>
      <c r="C4846" t="s">
        <v>4728</v>
      </c>
      <c r="D4846" t="s">
        <v>4729</v>
      </c>
    </row>
    <row r="4847" spans="1:4" x14ac:dyDescent="0.25">
      <c r="A4847" s="2" t="s">
        <v>4735</v>
      </c>
      <c r="B4847" s="1">
        <v>16588</v>
      </c>
      <c r="C4847" t="s">
        <v>4728</v>
      </c>
      <c r="D4847" t="s">
        <v>4729</v>
      </c>
    </row>
    <row r="4848" spans="1:4" x14ac:dyDescent="0.25">
      <c r="A4848" s="2" t="s">
        <v>4736</v>
      </c>
      <c r="B4848" s="1">
        <v>16566</v>
      </c>
      <c r="C4848" t="s">
        <v>4728</v>
      </c>
      <c r="D4848" t="s">
        <v>4729</v>
      </c>
    </row>
    <row r="4849" spans="1:4" x14ac:dyDescent="0.25">
      <c r="A4849" s="2" t="s">
        <v>4737</v>
      </c>
      <c r="B4849" s="1">
        <v>16849</v>
      </c>
      <c r="C4849" t="s">
        <v>4728</v>
      </c>
      <c r="D4849" t="s">
        <v>4729</v>
      </c>
    </row>
    <row r="4850" spans="1:4" x14ac:dyDescent="0.25">
      <c r="A4850" s="2" t="s">
        <v>4738</v>
      </c>
      <c r="B4850" s="1">
        <v>16943</v>
      </c>
      <c r="C4850" t="s">
        <v>4728</v>
      </c>
      <c r="D4850" t="s">
        <v>4729</v>
      </c>
    </row>
    <row r="4851" spans="1:4" x14ac:dyDescent="0.25">
      <c r="A4851" s="2" t="s">
        <v>4739</v>
      </c>
      <c r="B4851" s="1">
        <v>16779</v>
      </c>
      <c r="C4851" t="s">
        <v>4728</v>
      </c>
      <c r="D4851" t="s">
        <v>4729</v>
      </c>
    </row>
    <row r="4852" spans="1:4" x14ac:dyDescent="0.25">
      <c r="A4852" s="2" t="s">
        <v>4740</v>
      </c>
      <c r="B4852" s="1">
        <v>16779</v>
      </c>
      <c r="C4852" t="s">
        <v>4728</v>
      </c>
      <c r="D4852" t="s">
        <v>4729</v>
      </c>
    </row>
    <row r="4853" spans="1:4" x14ac:dyDescent="0.25">
      <c r="A4853" s="2" t="s">
        <v>4741</v>
      </c>
      <c r="B4853" s="1">
        <v>16779</v>
      </c>
      <c r="C4853" t="s">
        <v>4728</v>
      </c>
      <c r="D4853" t="s">
        <v>4729</v>
      </c>
    </row>
    <row r="4854" spans="1:4" x14ac:dyDescent="0.25">
      <c r="A4854" s="2" t="s">
        <v>4742</v>
      </c>
      <c r="B4854" s="1">
        <v>16805</v>
      </c>
      <c r="C4854" t="s">
        <v>4728</v>
      </c>
      <c r="D4854" t="s">
        <v>4729</v>
      </c>
    </row>
    <row r="4855" spans="1:4" x14ac:dyDescent="0.25">
      <c r="A4855" s="2" t="s">
        <v>4743</v>
      </c>
      <c r="B4855" s="1">
        <v>16773</v>
      </c>
      <c r="C4855" t="s">
        <v>4728</v>
      </c>
      <c r="D4855" t="s">
        <v>4729</v>
      </c>
    </row>
    <row r="4856" spans="1:4" x14ac:dyDescent="0.25">
      <c r="A4856" s="2" t="s">
        <v>4744</v>
      </c>
      <c r="B4856" s="1">
        <v>16815</v>
      </c>
      <c r="C4856" t="s">
        <v>4728</v>
      </c>
      <c r="D4856" t="s">
        <v>4729</v>
      </c>
    </row>
    <row r="4857" spans="1:4" x14ac:dyDescent="0.25">
      <c r="A4857" s="2" t="s">
        <v>4745</v>
      </c>
      <c r="B4857" s="1">
        <v>16845</v>
      </c>
      <c r="C4857" t="s">
        <v>4728</v>
      </c>
      <c r="D4857" t="s">
        <v>4729</v>
      </c>
    </row>
    <row r="4858" spans="1:4" x14ac:dyDescent="0.25">
      <c r="A4858" s="2" t="s">
        <v>4746</v>
      </c>
      <c r="B4858" s="1">
        <v>16845</v>
      </c>
      <c r="C4858" t="s">
        <v>4728</v>
      </c>
      <c r="D4858" t="s">
        <v>4729</v>
      </c>
    </row>
    <row r="4859" spans="1:4" x14ac:dyDescent="0.25">
      <c r="A4859" s="2" t="s">
        <v>4747</v>
      </c>
      <c r="B4859" s="1">
        <v>16845</v>
      </c>
      <c r="C4859" t="s">
        <v>4728</v>
      </c>
      <c r="D4859" t="s">
        <v>4729</v>
      </c>
    </row>
    <row r="4860" spans="1:4" x14ac:dyDescent="0.25">
      <c r="A4860" s="2" t="s">
        <v>4748</v>
      </c>
      <c r="B4860" s="1">
        <v>16845</v>
      </c>
      <c r="C4860" t="s">
        <v>4728</v>
      </c>
      <c r="D4860" t="s">
        <v>4729</v>
      </c>
    </row>
    <row r="4861" spans="1:4" x14ac:dyDescent="0.25">
      <c r="A4861" s="2" t="s">
        <v>4749</v>
      </c>
      <c r="B4861" s="1">
        <v>16833</v>
      </c>
      <c r="C4861" t="s">
        <v>4728</v>
      </c>
      <c r="D4861" t="s">
        <v>4729</v>
      </c>
    </row>
    <row r="4862" spans="1:4" x14ac:dyDescent="0.25">
      <c r="A4862" s="2" t="s">
        <v>4750</v>
      </c>
      <c r="B4862" s="1">
        <v>16808</v>
      </c>
      <c r="C4862" t="s">
        <v>4728</v>
      </c>
      <c r="D4862" t="s">
        <v>4729</v>
      </c>
    </row>
    <row r="4863" spans="1:4" x14ac:dyDescent="0.25">
      <c r="A4863" s="2" t="s">
        <v>4751</v>
      </c>
      <c r="B4863" s="1">
        <v>16862</v>
      </c>
      <c r="C4863" t="s">
        <v>4728</v>
      </c>
      <c r="D4863" t="s">
        <v>4729</v>
      </c>
    </row>
    <row r="4864" spans="1:4" x14ac:dyDescent="0.25">
      <c r="A4864" s="2" t="s">
        <v>4752</v>
      </c>
      <c r="B4864" s="1">
        <v>16880</v>
      </c>
      <c r="C4864" t="s">
        <v>4728</v>
      </c>
      <c r="D4864" t="s">
        <v>4729</v>
      </c>
    </row>
    <row r="4865" spans="1:4" x14ac:dyDescent="0.25">
      <c r="A4865" s="2" t="s">
        <v>4753</v>
      </c>
      <c r="B4865" s="1">
        <v>16884</v>
      </c>
      <c r="C4865" t="s">
        <v>4728</v>
      </c>
      <c r="D4865" t="s">
        <v>4729</v>
      </c>
    </row>
    <row r="4866" spans="1:4" x14ac:dyDescent="0.25">
      <c r="A4866" s="2" t="s">
        <v>4754</v>
      </c>
      <c r="B4866" s="1">
        <v>16884</v>
      </c>
      <c r="C4866" t="s">
        <v>4728</v>
      </c>
      <c r="D4866" t="s">
        <v>4729</v>
      </c>
    </row>
    <row r="4867" spans="1:4" x14ac:dyDescent="0.25">
      <c r="A4867" s="2" t="s">
        <v>4755</v>
      </c>
      <c r="B4867" s="1">
        <v>16884</v>
      </c>
      <c r="C4867" t="s">
        <v>4728</v>
      </c>
      <c r="D4867" t="s">
        <v>4729</v>
      </c>
    </row>
    <row r="4868" spans="1:4" x14ac:dyDescent="0.25">
      <c r="A4868" s="2" t="s">
        <v>4756</v>
      </c>
      <c r="B4868" s="1">
        <v>16829</v>
      </c>
      <c r="C4868" t="s">
        <v>4728</v>
      </c>
      <c r="D4868" t="s">
        <v>4729</v>
      </c>
    </row>
    <row r="4869" spans="1:4" x14ac:dyDescent="0.25">
      <c r="A4869" s="2" t="s">
        <v>4757</v>
      </c>
      <c r="B4869" s="1">
        <v>16862</v>
      </c>
      <c r="C4869" t="s">
        <v>4728</v>
      </c>
      <c r="D4869" t="s">
        <v>4729</v>
      </c>
    </row>
    <row r="4870" spans="1:4" x14ac:dyDescent="0.25">
      <c r="A4870" s="2" t="s">
        <v>4758</v>
      </c>
      <c r="B4870" s="1">
        <v>16787</v>
      </c>
      <c r="C4870" t="s">
        <v>4728</v>
      </c>
      <c r="D4870" t="s">
        <v>4729</v>
      </c>
    </row>
    <row r="4871" spans="1:4" x14ac:dyDescent="0.25">
      <c r="A4871" s="2" t="s">
        <v>4759</v>
      </c>
      <c r="B4871" s="1">
        <v>16787</v>
      </c>
      <c r="C4871" t="s">
        <v>4760</v>
      </c>
      <c r="D4871" t="s">
        <v>4729</v>
      </c>
    </row>
    <row r="4872" spans="1:4" x14ac:dyDescent="0.25">
      <c r="A4872" s="2" t="s">
        <v>4761</v>
      </c>
      <c r="B4872" s="1">
        <v>16679</v>
      </c>
      <c r="C4872" t="s">
        <v>4760</v>
      </c>
      <c r="D4872" t="s">
        <v>4729</v>
      </c>
    </row>
    <row r="4873" spans="1:4" x14ac:dyDescent="0.25">
      <c r="A4873" s="2" t="s">
        <v>4762</v>
      </c>
      <c r="B4873" s="1">
        <v>16679</v>
      </c>
      <c r="C4873" t="s">
        <v>4760</v>
      </c>
      <c r="D4873" t="s">
        <v>4729</v>
      </c>
    </row>
    <row r="4874" spans="1:4" x14ac:dyDescent="0.25">
      <c r="A4874" s="2" t="s">
        <v>4763</v>
      </c>
      <c r="B4874" s="1">
        <v>16679</v>
      </c>
      <c r="C4874" t="s">
        <v>4760</v>
      </c>
      <c r="D4874" t="s">
        <v>4729</v>
      </c>
    </row>
    <row r="4875" spans="1:4" x14ac:dyDescent="0.25">
      <c r="A4875" s="2" t="s">
        <v>4764</v>
      </c>
      <c r="B4875" s="1">
        <v>16493</v>
      </c>
      <c r="C4875" t="s">
        <v>4760</v>
      </c>
      <c r="D4875" t="s">
        <v>4729</v>
      </c>
    </row>
    <row r="4876" spans="1:4" x14ac:dyDescent="0.25">
      <c r="A4876" s="2" t="s">
        <v>4765</v>
      </c>
      <c r="B4876" s="1">
        <v>16421</v>
      </c>
      <c r="C4876" t="s">
        <v>4760</v>
      </c>
      <c r="D4876" t="s">
        <v>4729</v>
      </c>
    </row>
    <row r="4877" spans="1:4" x14ac:dyDescent="0.25">
      <c r="A4877" s="2" t="s">
        <v>4766</v>
      </c>
      <c r="B4877" s="1">
        <v>16472</v>
      </c>
      <c r="C4877" t="s">
        <v>4760</v>
      </c>
      <c r="D4877" t="s">
        <v>4729</v>
      </c>
    </row>
    <row r="4878" spans="1:4" x14ac:dyDescent="0.25">
      <c r="A4878" s="2" t="s">
        <v>4767</v>
      </c>
      <c r="B4878" s="1">
        <v>16533</v>
      </c>
      <c r="C4878" t="s">
        <v>4760</v>
      </c>
      <c r="D4878" t="s">
        <v>4729</v>
      </c>
    </row>
    <row r="4879" spans="1:4" x14ac:dyDescent="0.25">
      <c r="A4879" s="2" t="s">
        <v>4768</v>
      </c>
      <c r="B4879" s="1">
        <v>16497</v>
      </c>
      <c r="C4879" t="s">
        <v>4760</v>
      </c>
      <c r="D4879" t="s">
        <v>4729</v>
      </c>
    </row>
    <row r="4880" spans="1:4" x14ac:dyDescent="0.25">
      <c r="A4880" s="2" t="s">
        <v>4769</v>
      </c>
      <c r="B4880" s="1">
        <v>16497</v>
      </c>
      <c r="C4880" t="s">
        <v>4760</v>
      </c>
      <c r="D4880" t="s">
        <v>4729</v>
      </c>
    </row>
    <row r="4881" spans="1:4" x14ac:dyDescent="0.25">
      <c r="A4881" s="2" t="s">
        <v>4770</v>
      </c>
      <c r="B4881" s="1">
        <v>16497</v>
      </c>
      <c r="C4881" t="s">
        <v>4760</v>
      </c>
      <c r="D4881" t="s">
        <v>4729</v>
      </c>
    </row>
    <row r="4882" spans="1:4" x14ac:dyDescent="0.25">
      <c r="A4882" s="2" t="s">
        <v>4771</v>
      </c>
      <c r="B4882" s="1">
        <v>16497</v>
      </c>
      <c r="C4882" t="s">
        <v>4760</v>
      </c>
      <c r="D4882" t="s">
        <v>4729</v>
      </c>
    </row>
    <row r="4883" spans="1:4" x14ac:dyDescent="0.25">
      <c r="A4883" s="2" t="s">
        <v>4772</v>
      </c>
      <c r="B4883" s="1">
        <v>16497</v>
      </c>
      <c r="C4883" t="s">
        <v>4760</v>
      </c>
      <c r="D4883" t="s">
        <v>4729</v>
      </c>
    </row>
    <row r="4884" spans="1:4" x14ac:dyDescent="0.25">
      <c r="A4884" s="2" t="s">
        <v>4773</v>
      </c>
      <c r="B4884" s="1">
        <v>16532</v>
      </c>
      <c r="C4884" t="s">
        <v>4760</v>
      </c>
      <c r="D4884" t="s">
        <v>4729</v>
      </c>
    </row>
    <row r="4885" spans="1:4" x14ac:dyDescent="0.25">
      <c r="A4885" s="2" t="s">
        <v>4774</v>
      </c>
      <c r="B4885" s="1">
        <v>16568</v>
      </c>
      <c r="C4885" t="s">
        <v>4760</v>
      </c>
      <c r="D4885" t="s">
        <v>4729</v>
      </c>
    </row>
    <row r="4886" spans="1:4" x14ac:dyDescent="0.25">
      <c r="A4886" s="2" t="s">
        <v>4775</v>
      </c>
      <c r="B4886" s="1">
        <v>16535</v>
      </c>
      <c r="C4886" t="s">
        <v>4760</v>
      </c>
      <c r="D4886" t="s">
        <v>4729</v>
      </c>
    </row>
    <row r="4887" spans="1:4" x14ac:dyDescent="0.25">
      <c r="A4887" s="2" t="s">
        <v>4776</v>
      </c>
      <c r="B4887" s="1">
        <v>16535</v>
      </c>
      <c r="C4887" t="s">
        <v>4760</v>
      </c>
      <c r="D4887" t="s">
        <v>4729</v>
      </c>
    </row>
    <row r="4888" spans="1:4" x14ac:dyDescent="0.25">
      <c r="A4888" s="2" t="s">
        <v>4777</v>
      </c>
      <c r="B4888" s="1">
        <v>16535</v>
      </c>
      <c r="C4888" t="s">
        <v>4760</v>
      </c>
      <c r="D4888" t="s">
        <v>4729</v>
      </c>
    </row>
    <row r="4889" spans="1:4" x14ac:dyDescent="0.25">
      <c r="A4889" s="2" t="s">
        <v>4778</v>
      </c>
      <c r="B4889" s="1">
        <v>16424</v>
      </c>
      <c r="C4889" t="s">
        <v>4760</v>
      </c>
      <c r="D4889" t="s">
        <v>4729</v>
      </c>
    </row>
    <row r="4890" spans="1:4" x14ac:dyDescent="0.25">
      <c r="A4890" s="2" t="s">
        <v>4779</v>
      </c>
      <c r="B4890" s="1">
        <v>16455</v>
      </c>
      <c r="C4890" t="s">
        <v>4760</v>
      </c>
      <c r="D4890" t="s">
        <v>4729</v>
      </c>
    </row>
    <row r="4891" spans="1:4" x14ac:dyDescent="0.25">
      <c r="A4891" s="2" t="s">
        <v>4780</v>
      </c>
      <c r="B4891" s="1">
        <v>16406</v>
      </c>
      <c r="C4891" t="s">
        <v>4760</v>
      </c>
      <c r="D4891" t="s">
        <v>4729</v>
      </c>
    </row>
    <row r="4892" spans="1:4" x14ac:dyDescent="0.25">
      <c r="A4892" s="2" t="s">
        <v>4781</v>
      </c>
      <c r="B4892" s="1">
        <v>16413</v>
      </c>
      <c r="C4892" t="s">
        <v>4760</v>
      </c>
      <c r="D4892" t="s">
        <v>4729</v>
      </c>
    </row>
    <row r="4893" spans="1:4" x14ac:dyDescent="0.25">
      <c r="A4893" s="2" t="s">
        <v>4782</v>
      </c>
      <c r="B4893" s="1">
        <v>16313</v>
      </c>
      <c r="C4893" t="s">
        <v>4760</v>
      </c>
      <c r="D4893" t="s">
        <v>4729</v>
      </c>
    </row>
    <row r="4894" spans="1:4" x14ac:dyDescent="0.25">
      <c r="A4894" s="2" t="s">
        <v>4783</v>
      </c>
      <c r="B4894" s="1">
        <v>16313</v>
      </c>
      <c r="C4894" t="s">
        <v>4760</v>
      </c>
      <c r="D4894" t="s">
        <v>4729</v>
      </c>
    </row>
    <row r="4895" spans="1:4" x14ac:dyDescent="0.25">
      <c r="A4895" s="2" t="s">
        <v>4784</v>
      </c>
      <c r="B4895" s="1">
        <v>16313</v>
      </c>
      <c r="C4895" t="s">
        <v>4760</v>
      </c>
      <c r="D4895" t="s">
        <v>4729</v>
      </c>
    </row>
    <row r="4896" spans="1:4" x14ac:dyDescent="0.25">
      <c r="A4896" s="2" t="s">
        <v>4785</v>
      </c>
      <c r="B4896" s="1">
        <v>16289</v>
      </c>
      <c r="C4896" t="s">
        <v>4760</v>
      </c>
      <c r="D4896" t="s">
        <v>4729</v>
      </c>
    </row>
    <row r="4897" spans="1:4" x14ac:dyDescent="0.25">
      <c r="A4897" s="2" t="s">
        <v>4786</v>
      </c>
      <c r="B4897" s="1">
        <v>16207</v>
      </c>
      <c r="C4897" t="s">
        <v>4760</v>
      </c>
      <c r="D4897" t="s">
        <v>4729</v>
      </c>
    </row>
    <row r="4898" spans="1:4" x14ac:dyDescent="0.25">
      <c r="A4898" s="2" t="s">
        <v>4787</v>
      </c>
      <c r="B4898" s="1">
        <v>16255</v>
      </c>
      <c r="C4898" t="s">
        <v>4760</v>
      </c>
      <c r="D4898" t="s">
        <v>4729</v>
      </c>
    </row>
    <row r="4899" spans="1:4" x14ac:dyDescent="0.25">
      <c r="A4899" s="2" t="s">
        <v>4788</v>
      </c>
      <c r="B4899" s="1">
        <v>16255</v>
      </c>
      <c r="C4899" t="s">
        <v>4760</v>
      </c>
      <c r="D4899" t="s">
        <v>4729</v>
      </c>
    </row>
    <row r="4900" spans="1:4" x14ac:dyDescent="0.25">
      <c r="A4900" s="2" t="s">
        <v>4789</v>
      </c>
      <c r="B4900" s="1">
        <v>16255</v>
      </c>
      <c r="C4900" t="s">
        <v>4760</v>
      </c>
      <c r="D4900" t="s">
        <v>4729</v>
      </c>
    </row>
    <row r="4901" spans="1:4" x14ac:dyDescent="0.25">
      <c r="A4901" s="2" t="s">
        <v>4790</v>
      </c>
      <c r="B4901" s="1">
        <v>16255</v>
      </c>
      <c r="C4901" t="s">
        <v>4760</v>
      </c>
      <c r="D4901" t="s">
        <v>4729</v>
      </c>
    </row>
    <row r="4902" spans="1:4" x14ac:dyDescent="0.25">
      <c r="A4902" s="2" t="s">
        <v>4791</v>
      </c>
      <c r="B4902" s="1">
        <v>16255</v>
      </c>
      <c r="C4902" t="s">
        <v>4792</v>
      </c>
      <c r="D4902" t="s">
        <v>4729</v>
      </c>
    </row>
    <row r="4903" spans="1:4" x14ac:dyDescent="0.25">
      <c r="A4903" s="2" t="s">
        <v>4793</v>
      </c>
      <c r="B4903" s="1">
        <v>16300</v>
      </c>
      <c r="C4903" t="s">
        <v>4792</v>
      </c>
      <c r="D4903" t="s">
        <v>4729</v>
      </c>
    </row>
    <row r="4904" spans="1:4" x14ac:dyDescent="0.25">
      <c r="A4904" s="2" t="s">
        <v>4794</v>
      </c>
      <c r="B4904" s="1">
        <v>16297</v>
      </c>
      <c r="C4904" t="s">
        <v>4792</v>
      </c>
      <c r="D4904" t="s">
        <v>4729</v>
      </c>
    </row>
    <row r="4905" spans="1:4" x14ac:dyDescent="0.25">
      <c r="A4905" s="2" t="s">
        <v>4795</v>
      </c>
      <c r="B4905" s="1">
        <v>16288</v>
      </c>
      <c r="C4905" t="s">
        <v>4792</v>
      </c>
      <c r="D4905" t="s">
        <v>4729</v>
      </c>
    </row>
    <row r="4906" spans="1:4" x14ac:dyDescent="0.25">
      <c r="A4906" s="2" t="s">
        <v>4796</v>
      </c>
      <c r="B4906" s="1">
        <v>16305</v>
      </c>
      <c r="C4906" t="s">
        <v>4792</v>
      </c>
      <c r="D4906" t="s">
        <v>4729</v>
      </c>
    </row>
    <row r="4907" spans="1:4" x14ac:dyDescent="0.25">
      <c r="A4907" s="2" t="s">
        <v>4797</v>
      </c>
      <c r="B4907" s="1">
        <v>16305</v>
      </c>
      <c r="C4907" t="s">
        <v>4792</v>
      </c>
      <c r="D4907" t="s">
        <v>4729</v>
      </c>
    </row>
    <row r="4908" spans="1:4" x14ac:dyDescent="0.25">
      <c r="A4908" s="2" t="s">
        <v>4798</v>
      </c>
      <c r="B4908" s="1">
        <v>16305</v>
      </c>
      <c r="C4908" t="s">
        <v>4792</v>
      </c>
      <c r="D4908" t="s">
        <v>4729</v>
      </c>
    </row>
    <row r="4909" spans="1:4" x14ac:dyDescent="0.25">
      <c r="A4909" s="2" t="s">
        <v>4799</v>
      </c>
      <c r="B4909" s="1">
        <v>16305</v>
      </c>
      <c r="C4909" t="s">
        <v>4792</v>
      </c>
      <c r="D4909" t="s">
        <v>4729</v>
      </c>
    </row>
    <row r="4910" spans="1:4" x14ac:dyDescent="0.25">
      <c r="A4910" s="2" t="s">
        <v>4800</v>
      </c>
      <c r="B4910" s="1">
        <v>16305</v>
      </c>
      <c r="C4910" t="s">
        <v>4792</v>
      </c>
      <c r="D4910" t="s">
        <v>4729</v>
      </c>
    </row>
    <row r="4911" spans="1:4" x14ac:dyDescent="0.25">
      <c r="A4911" s="2" t="s">
        <v>4801</v>
      </c>
      <c r="B4911" s="1">
        <v>16277</v>
      </c>
      <c r="C4911" t="s">
        <v>4792</v>
      </c>
      <c r="D4911" t="s">
        <v>4729</v>
      </c>
    </row>
    <row r="4912" spans="1:4" x14ac:dyDescent="0.25">
      <c r="A4912" s="2" t="s">
        <v>4802</v>
      </c>
      <c r="B4912" s="1">
        <v>16276</v>
      </c>
      <c r="C4912" t="s">
        <v>4792</v>
      </c>
      <c r="D4912" t="s">
        <v>4729</v>
      </c>
    </row>
    <row r="4913" spans="1:4" x14ac:dyDescent="0.25">
      <c r="A4913" s="2" t="s">
        <v>4803</v>
      </c>
      <c r="B4913" s="1">
        <v>16265</v>
      </c>
      <c r="C4913" t="s">
        <v>4792</v>
      </c>
      <c r="D4913" t="s">
        <v>4729</v>
      </c>
    </row>
    <row r="4914" spans="1:4" x14ac:dyDescent="0.25">
      <c r="A4914" s="2" t="s">
        <v>4804</v>
      </c>
      <c r="B4914" s="1">
        <v>16237</v>
      </c>
      <c r="C4914" t="s">
        <v>4792</v>
      </c>
      <c r="D4914" t="s">
        <v>4729</v>
      </c>
    </row>
    <row r="4915" spans="1:4" x14ac:dyDescent="0.25">
      <c r="A4915" s="2" t="s">
        <v>4805</v>
      </c>
      <c r="B4915" s="1">
        <v>16237</v>
      </c>
      <c r="C4915" t="s">
        <v>4792</v>
      </c>
      <c r="D4915" t="s">
        <v>4729</v>
      </c>
    </row>
    <row r="4916" spans="1:4" x14ac:dyDescent="0.25">
      <c r="A4916" s="2" t="s">
        <v>4806</v>
      </c>
      <c r="B4916" s="1">
        <v>16237</v>
      </c>
      <c r="C4916" t="s">
        <v>4792</v>
      </c>
      <c r="D4916" t="s">
        <v>4729</v>
      </c>
    </row>
    <row r="4917" spans="1:4" x14ac:dyDescent="0.25">
      <c r="A4917" s="2" t="s">
        <v>4807</v>
      </c>
      <c r="B4917" s="1">
        <v>16293</v>
      </c>
      <c r="C4917" t="s">
        <v>4792</v>
      </c>
      <c r="D4917" t="s">
        <v>4729</v>
      </c>
    </row>
    <row r="4918" spans="1:4" x14ac:dyDescent="0.25">
      <c r="A4918" s="2" t="s">
        <v>4808</v>
      </c>
      <c r="B4918" s="1">
        <v>16296</v>
      </c>
      <c r="C4918" t="s">
        <v>4792</v>
      </c>
      <c r="D4918" t="s">
        <v>4729</v>
      </c>
    </row>
    <row r="4919" spans="1:4" x14ac:dyDescent="0.25">
      <c r="A4919" s="2" t="s">
        <v>4809</v>
      </c>
      <c r="B4919" s="1">
        <v>16281</v>
      </c>
      <c r="C4919" t="s">
        <v>4792</v>
      </c>
      <c r="D4919" t="s">
        <v>4729</v>
      </c>
    </row>
    <row r="4920" spans="1:4" x14ac:dyDescent="0.25">
      <c r="A4920" s="2" t="s">
        <v>4810</v>
      </c>
      <c r="B4920" s="1">
        <v>16319</v>
      </c>
      <c r="C4920" t="s">
        <v>4792</v>
      </c>
      <c r="D4920" t="s">
        <v>4729</v>
      </c>
    </row>
    <row r="4921" spans="1:4" x14ac:dyDescent="0.25">
      <c r="A4921" s="2" t="s">
        <v>4811</v>
      </c>
      <c r="B4921" s="1">
        <v>16378</v>
      </c>
      <c r="C4921" t="s">
        <v>4792</v>
      </c>
      <c r="D4921" t="s">
        <v>4729</v>
      </c>
    </row>
    <row r="4922" spans="1:4" x14ac:dyDescent="0.25">
      <c r="A4922" s="2" t="s">
        <v>4812</v>
      </c>
      <c r="B4922" s="1">
        <v>16378</v>
      </c>
      <c r="C4922" t="s">
        <v>4792</v>
      </c>
      <c r="D4922" t="s">
        <v>4729</v>
      </c>
    </row>
    <row r="4923" spans="1:4" x14ac:dyDescent="0.25">
      <c r="A4923" s="2" t="s">
        <v>4813</v>
      </c>
      <c r="B4923" s="1">
        <v>16378</v>
      </c>
      <c r="C4923" t="s">
        <v>4792</v>
      </c>
      <c r="D4923" t="s">
        <v>4729</v>
      </c>
    </row>
    <row r="4924" spans="1:4" x14ac:dyDescent="0.25">
      <c r="A4924" s="2" t="s">
        <v>4814</v>
      </c>
      <c r="B4924" s="1">
        <v>16399</v>
      </c>
      <c r="C4924" t="s">
        <v>4792</v>
      </c>
      <c r="D4924" t="s">
        <v>4729</v>
      </c>
    </row>
    <row r="4925" spans="1:4" x14ac:dyDescent="0.25">
      <c r="A4925" s="2" t="s">
        <v>4815</v>
      </c>
      <c r="B4925" s="1">
        <v>16484</v>
      </c>
      <c r="C4925" t="s">
        <v>4792</v>
      </c>
      <c r="D4925" t="s">
        <v>4729</v>
      </c>
    </row>
    <row r="4926" spans="1:4" x14ac:dyDescent="0.25">
      <c r="A4926" s="2" t="s">
        <v>4816</v>
      </c>
      <c r="B4926" s="1">
        <v>16370</v>
      </c>
      <c r="C4926" t="s">
        <v>4792</v>
      </c>
      <c r="D4926" t="s">
        <v>4729</v>
      </c>
    </row>
    <row r="4927" spans="1:4" x14ac:dyDescent="0.25">
      <c r="A4927" s="2" t="s">
        <v>4817</v>
      </c>
      <c r="B4927" s="1">
        <v>16292</v>
      </c>
      <c r="C4927" t="s">
        <v>4792</v>
      </c>
      <c r="D4927" t="s">
        <v>4729</v>
      </c>
    </row>
    <row r="4928" spans="1:4" x14ac:dyDescent="0.25">
      <c r="A4928" s="2" t="s">
        <v>4818</v>
      </c>
      <c r="B4928" s="1">
        <v>16292</v>
      </c>
      <c r="C4928" t="s">
        <v>4792</v>
      </c>
      <c r="D4928" t="s">
        <v>4729</v>
      </c>
    </row>
    <row r="4929" spans="1:4" x14ac:dyDescent="0.25">
      <c r="A4929" s="2" t="s">
        <v>4819</v>
      </c>
      <c r="B4929" s="1">
        <v>16292</v>
      </c>
      <c r="C4929" t="s">
        <v>4792</v>
      </c>
      <c r="D4929" t="s">
        <v>4729</v>
      </c>
    </row>
    <row r="4930" spans="1:4" x14ac:dyDescent="0.25">
      <c r="A4930" s="2" t="s">
        <v>4820</v>
      </c>
      <c r="B4930" s="1">
        <v>16292</v>
      </c>
      <c r="C4930" t="s">
        <v>4792</v>
      </c>
      <c r="D4930" t="s">
        <v>4729</v>
      </c>
    </row>
    <row r="4931" spans="1:4" x14ac:dyDescent="0.25">
      <c r="A4931" s="2" t="s">
        <v>4821</v>
      </c>
      <c r="B4931" s="1">
        <v>16233</v>
      </c>
      <c r="C4931" t="s">
        <v>4792</v>
      </c>
      <c r="D4931" t="s">
        <v>4729</v>
      </c>
    </row>
    <row r="4932" spans="1:4" x14ac:dyDescent="0.25">
      <c r="A4932" s="2" t="s">
        <v>4822</v>
      </c>
      <c r="B4932" s="1">
        <v>16231</v>
      </c>
      <c r="C4932" t="s">
        <v>4823</v>
      </c>
      <c r="D4932" t="s">
        <v>4824</v>
      </c>
    </row>
    <row r="4933" spans="1:4" x14ac:dyDescent="0.25">
      <c r="A4933" s="2" t="s">
        <v>4825</v>
      </c>
      <c r="B4933" s="1">
        <v>16192</v>
      </c>
      <c r="C4933" t="s">
        <v>4823</v>
      </c>
      <c r="D4933" t="s">
        <v>4824</v>
      </c>
    </row>
    <row r="4934" spans="1:4" x14ac:dyDescent="0.25">
      <c r="A4934" s="2" t="s">
        <v>4826</v>
      </c>
      <c r="B4934" s="1">
        <v>16236</v>
      </c>
      <c r="C4934" t="s">
        <v>4823</v>
      </c>
      <c r="D4934" t="s">
        <v>4824</v>
      </c>
    </row>
    <row r="4935" spans="1:4" x14ac:dyDescent="0.25">
      <c r="A4935" s="2" t="s">
        <v>4827</v>
      </c>
      <c r="B4935" s="1">
        <v>16209</v>
      </c>
      <c r="C4935" t="s">
        <v>4823</v>
      </c>
      <c r="D4935" t="s">
        <v>4824</v>
      </c>
    </row>
    <row r="4936" spans="1:4" x14ac:dyDescent="0.25">
      <c r="A4936" s="2" t="s">
        <v>4828</v>
      </c>
      <c r="B4936" s="1">
        <v>16209</v>
      </c>
      <c r="C4936" t="s">
        <v>4823</v>
      </c>
      <c r="D4936" t="s">
        <v>4824</v>
      </c>
    </row>
    <row r="4937" spans="1:4" x14ac:dyDescent="0.25">
      <c r="A4937" s="2" t="s">
        <v>4829</v>
      </c>
      <c r="B4937" s="1">
        <v>16209</v>
      </c>
      <c r="C4937" t="s">
        <v>4823</v>
      </c>
      <c r="D4937" t="s">
        <v>4824</v>
      </c>
    </row>
    <row r="4938" spans="1:4" x14ac:dyDescent="0.25">
      <c r="A4938" s="2" t="s">
        <v>4830</v>
      </c>
      <c r="B4938" s="1">
        <v>16204</v>
      </c>
      <c r="C4938" t="s">
        <v>4823</v>
      </c>
      <c r="D4938" t="s">
        <v>4824</v>
      </c>
    </row>
    <row r="4939" spans="1:4" x14ac:dyDescent="0.25">
      <c r="A4939" s="2" t="s">
        <v>4831</v>
      </c>
      <c r="B4939" s="1">
        <v>16237</v>
      </c>
      <c r="C4939" t="s">
        <v>4823</v>
      </c>
      <c r="D4939" t="s">
        <v>4824</v>
      </c>
    </row>
    <row r="4940" spans="1:4" x14ac:dyDescent="0.25">
      <c r="A4940" s="2" t="s">
        <v>4832</v>
      </c>
      <c r="B4940" s="1">
        <v>16238</v>
      </c>
      <c r="C4940" t="s">
        <v>4823</v>
      </c>
      <c r="D4940" t="s">
        <v>4824</v>
      </c>
    </row>
    <row r="4941" spans="1:4" x14ac:dyDescent="0.25">
      <c r="A4941" s="2" t="s">
        <v>4833</v>
      </c>
      <c r="B4941" s="1">
        <v>16254</v>
      </c>
      <c r="C4941" t="s">
        <v>4823</v>
      </c>
      <c r="D4941" t="s">
        <v>4824</v>
      </c>
    </row>
    <row r="4942" spans="1:4" x14ac:dyDescent="0.25">
      <c r="A4942" s="2" t="s">
        <v>4834</v>
      </c>
      <c r="B4942" s="1">
        <v>16220</v>
      </c>
      <c r="C4942" t="s">
        <v>4823</v>
      </c>
      <c r="D4942" t="s">
        <v>4824</v>
      </c>
    </row>
    <row r="4943" spans="1:4" x14ac:dyDescent="0.25">
      <c r="A4943" s="2" t="s">
        <v>4835</v>
      </c>
      <c r="B4943" s="1">
        <v>16220</v>
      </c>
      <c r="C4943" t="s">
        <v>4823</v>
      </c>
      <c r="D4943" t="s">
        <v>4824</v>
      </c>
    </row>
    <row r="4944" spans="1:4" x14ac:dyDescent="0.25">
      <c r="A4944" s="2" t="s">
        <v>4836</v>
      </c>
      <c r="B4944" s="1">
        <v>16220</v>
      </c>
      <c r="C4944" t="s">
        <v>4823</v>
      </c>
      <c r="D4944" t="s">
        <v>4824</v>
      </c>
    </row>
    <row r="4945" spans="1:4" x14ac:dyDescent="0.25">
      <c r="A4945" s="2" t="s">
        <v>4837</v>
      </c>
      <c r="B4945" s="1">
        <v>16221</v>
      </c>
      <c r="C4945" t="s">
        <v>4823</v>
      </c>
      <c r="D4945" t="s">
        <v>4824</v>
      </c>
    </row>
    <row r="4946" spans="1:4" x14ac:dyDescent="0.25">
      <c r="A4946" s="2" t="s">
        <v>4838</v>
      </c>
      <c r="B4946" s="1">
        <v>16247</v>
      </c>
      <c r="C4946" t="s">
        <v>4823</v>
      </c>
      <c r="D4946" t="s">
        <v>4824</v>
      </c>
    </row>
    <row r="4947" spans="1:4" x14ac:dyDescent="0.25">
      <c r="A4947" s="2" t="s">
        <v>4839</v>
      </c>
      <c r="B4947" s="1">
        <v>16281</v>
      </c>
      <c r="C4947" t="s">
        <v>4823</v>
      </c>
      <c r="D4947" t="s">
        <v>4824</v>
      </c>
    </row>
    <row r="4948" spans="1:4" x14ac:dyDescent="0.25">
      <c r="A4948" s="2" t="s">
        <v>4840</v>
      </c>
      <c r="B4948" s="1">
        <v>16288</v>
      </c>
      <c r="C4948" t="s">
        <v>4823</v>
      </c>
      <c r="D4948" t="s">
        <v>4824</v>
      </c>
    </row>
    <row r="4949" spans="1:4" x14ac:dyDescent="0.25">
      <c r="A4949" s="2" t="s">
        <v>4841</v>
      </c>
      <c r="B4949" s="1">
        <v>16329</v>
      </c>
      <c r="C4949" t="s">
        <v>4823</v>
      </c>
      <c r="D4949" t="s">
        <v>4824</v>
      </c>
    </row>
    <row r="4950" spans="1:4" x14ac:dyDescent="0.25">
      <c r="A4950" s="2" t="s">
        <v>4842</v>
      </c>
      <c r="B4950" s="1">
        <v>16329</v>
      </c>
      <c r="C4950" t="s">
        <v>4823</v>
      </c>
      <c r="D4950" t="s">
        <v>4824</v>
      </c>
    </row>
    <row r="4951" spans="1:4" x14ac:dyDescent="0.25">
      <c r="A4951" s="2" t="s">
        <v>4843</v>
      </c>
      <c r="B4951" s="1">
        <v>16329</v>
      </c>
      <c r="C4951" t="s">
        <v>4823</v>
      </c>
      <c r="D4951" t="s">
        <v>4824</v>
      </c>
    </row>
    <row r="4952" spans="1:4" x14ac:dyDescent="0.25">
      <c r="A4952" s="2" t="s">
        <v>4844</v>
      </c>
      <c r="B4952" s="1">
        <v>16301</v>
      </c>
      <c r="C4952" t="s">
        <v>4823</v>
      </c>
      <c r="D4952" t="s">
        <v>4824</v>
      </c>
    </row>
    <row r="4953" spans="1:4" x14ac:dyDescent="0.25">
      <c r="A4953" s="2" t="s">
        <v>4845</v>
      </c>
      <c r="B4953" s="1">
        <v>16330</v>
      </c>
      <c r="C4953" t="s">
        <v>4823</v>
      </c>
      <c r="D4953" t="s">
        <v>4824</v>
      </c>
    </row>
    <row r="4954" spans="1:4" x14ac:dyDescent="0.25">
      <c r="A4954" s="2" t="s">
        <v>4846</v>
      </c>
      <c r="B4954" s="1">
        <v>16307</v>
      </c>
      <c r="C4954" t="s">
        <v>4823</v>
      </c>
      <c r="D4954" t="s">
        <v>4824</v>
      </c>
    </row>
    <row r="4955" spans="1:4" x14ac:dyDescent="0.25">
      <c r="A4955" s="2" t="s">
        <v>4847</v>
      </c>
      <c r="B4955" s="1">
        <v>16298</v>
      </c>
      <c r="C4955" t="s">
        <v>4823</v>
      </c>
      <c r="D4955" t="s">
        <v>4824</v>
      </c>
    </row>
    <row r="4956" spans="1:4" x14ac:dyDescent="0.25">
      <c r="A4956" s="2" t="s">
        <v>4848</v>
      </c>
      <c r="B4956" s="1">
        <v>16283</v>
      </c>
      <c r="C4956" t="s">
        <v>4823</v>
      </c>
      <c r="D4956" t="s">
        <v>4824</v>
      </c>
    </row>
    <row r="4957" spans="1:4" x14ac:dyDescent="0.25">
      <c r="A4957" s="2" t="s">
        <v>4849</v>
      </c>
      <c r="B4957" s="1">
        <v>16283</v>
      </c>
      <c r="C4957" t="s">
        <v>4823</v>
      </c>
      <c r="D4957" t="s">
        <v>4824</v>
      </c>
    </row>
    <row r="4958" spans="1:4" x14ac:dyDescent="0.25">
      <c r="A4958" s="2" t="s">
        <v>4850</v>
      </c>
      <c r="B4958" s="1">
        <v>16283</v>
      </c>
      <c r="C4958" t="s">
        <v>4823</v>
      </c>
      <c r="D4958" t="s">
        <v>4824</v>
      </c>
    </row>
    <row r="4959" spans="1:4" x14ac:dyDescent="0.25">
      <c r="A4959" s="2" t="s">
        <v>4851</v>
      </c>
      <c r="B4959" s="1">
        <v>16325</v>
      </c>
      <c r="C4959" t="s">
        <v>4823</v>
      </c>
      <c r="D4959" t="s">
        <v>4824</v>
      </c>
    </row>
    <row r="4960" spans="1:4" x14ac:dyDescent="0.25">
      <c r="A4960" s="2" t="s">
        <v>4852</v>
      </c>
      <c r="B4960" s="1">
        <v>16341</v>
      </c>
      <c r="C4960" t="s">
        <v>4823</v>
      </c>
      <c r="D4960" t="s">
        <v>4824</v>
      </c>
    </row>
    <row r="4961" spans="1:4" x14ac:dyDescent="0.25">
      <c r="A4961" s="2" t="s">
        <v>4853</v>
      </c>
      <c r="B4961" s="1">
        <v>16399</v>
      </c>
      <c r="C4961" t="s">
        <v>4823</v>
      </c>
      <c r="D4961" t="s">
        <v>4824</v>
      </c>
    </row>
    <row r="4962" spans="1:4" x14ac:dyDescent="0.25">
      <c r="A4962" s="2" t="s">
        <v>4854</v>
      </c>
      <c r="B4962" s="1">
        <v>16387</v>
      </c>
      <c r="C4962" t="s">
        <v>4823</v>
      </c>
      <c r="D4962" t="s">
        <v>4824</v>
      </c>
    </row>
    <row r="4963" spans="1:4" x14ac:dyDescent="0.25">
      <c r="A4963" s="2" t="s">
        <v>4855</v>
      </c>
      <c r="B4963" s="1">
        <v>16459</v>
      </c>
      <c r="C4963" t="s">
        <v>4856</v>
      </c>
      <c r="D4963" t="s">
        <v>4824</v>
      </c>
    </row>
    <row r="4964" spans="1:4" x14ac:dyDescent="0.25">
      <c r="A4964" s="2" t="s">
        <v>4857</v>
      </c>
      <c r="B4964" s="1">
        <v>16459</v>
      </c>
      <c r="C4964" t="s">
        <v>4856</v>
      </c>
      <c r="D4964" t="s">
        <v>4824</v>
      </c>
    </row>
    <row r="4965" spans="1:4" x14ac:dyDescent="0.25">
      <c r="A4965" s="2" t="s">
        <v>4858</v>
      </c>
      <c r="B4965" s="1">
        <v>16459</v>
      </c>
      <c r="C4965" t="s">
        <v>4856</v>
      </c>
      <c r="D4965" t="s">
        <v>4824</v>
      </c>
    </row>
    <row r="4966" spans="1:4" x14ac:dyDescent="0.25">
      <c r="A4966" s="2" t="s">
        <v>4859</v>
      </c>
      <c r="B4966" s="1">
        <v>16494</v>
      </c>
      <c r="C4966" t="s">
        <v>4856</v>
      </c>
      <c r="D4966" t="s">
        <v>4824</v>
      </c>
    </row>
    <row r="4967" spans="1:4" x14ac:dyDescent="0.25">
      <c r="A4967" s="2" t="s">
        <v>4860</v>
      </c>
      <c r="B4967" s="1">
        <v>16388</v>
      </c>
      <c r="C4967" t="s">
        <v>4856</v>
      </c>
      <c r="D4967" t="s">
        <v>4824</v>
      </c>
    </row>
    <row r="4968" spans="1:4" x14ac:dyDescent="0.25">
      <c r="A4968" s="2" t="s">
        <v>4861</v>
      </c>
      <c r="B4968" s="1">
        <v>16388</v>
      </c>
      <c r="C4968" t="s">
        <v>4856</v>
      </c>
      <c r="D4968" t="s">
        <v>4824</v>
      </c>
    </row>
    <row r="4969" spans="1:4" x14ac:dyDescent="0.25">
      <c r="A4969" s="2" t="s">
        <v>4862</v>
      </c>
      <c r="B4969" s="1">
        <v>16379</v>
      </c>
      <c r="C4969" t="s">
        <v>4856</v>
      </c>
      <c r="D4969" t="s">
        <v>4824</v>
      </c>
    </row>
    <row r="4970" spans="1:4" x14ac:dyDescent="0.25">
      <c r="A4970" s="2" t="s">
        <v>4863</v>
      </c>
      <c r="B4970" s="1">
        <v>16312</v>
      </c>
      <c r="C4970" t="s">
        <v>4856</v>
      </c>
      <c r="D4970" t="s">
        <v>4824</v>
      </c>
    </row>
    <row r="4971" spans="1:4" x14ac:dyDescent="0.25">
      <c r="A4971" s="2" t="s">
        <v>4864</v>
      </c>
      <c r="B4971" s="1">
        <v>16312</v>
      </c>
      <c r="C4971" t="s">
        <v>4856</v>
      </c>
      <c r="D4971" t="s">
        <v>4824</v>
      </c>
    </row>
    <row r="4972" spans="1:4" x14ac:dyDescent="0.25">
      <c r="A4972" s="2" t="s">
        <v>4865</v>
      </c>
      <c r="B4972" s="1">
        <v>16312</v>
      </c>
      <c r="C4972" t="s">
        <v>4856</v>
      </c>
      <c r="D4972" t="s">
        <v>4824</v>
      </c>
    </row>
    <row r="4973" spans="1:4" x14ac:dyDescent="0.25">
      <c r="A4973" s="2" t="s">
        <v>4866</v>
      </c>
      <c r="B4973" s="1">
        <v>16299</v>
      </c>
      <c r="C4973" t="s">
        <v>4856</v>
      </c>
      <c r="D4973" t="s">
        <v>4824</v>
      </c>
    </row>
    <row r="4974" spans="1:4" x14ac:dyDescent="0.25">
      <c r="A4974" s="2" t="s">
        <v>4867</v>
      </c>
      <c r="B4974" s="1">
        <v>16253</v>
      </c>
      <c r="C4974" t="s">
        <v>4856</v>
      </c>
      <c r="D4974" t="s">
        <v>4824</v>
      </c>
    </row>
    <row r="4975" spans="1:4" x14ac:dyDescent="0.25">
      <c r="A4975" s="2" t="s">
        <v>4868</v>
      </c>
      <c r="B4975" s="1">
        <v>16298</v>
      </c>
      <c r="C4975" t="s">
        <v>4856</v>
      </c>
      <c r="D4975" t="s">
        <v>4824</v>
      </c>
    </row>
    <row r="4976" spans="1:4" x14ac:dyDescent="0.25">
      <c r="A4976" s="2" t="s">
        <v>4869</v>
      </c>
      <c r="B4976" s="1">
        <v>16237</v>
      </c>
      <c r="C4976" t="s">
        <v>4856</v>
      </c>
      <c r="D4976" t="s">
        <v>4824</v>
      </c>
    </row>
    <row r="4977" spans="1:4" x14ac:dyDescent="0.25">
      <c r="A4977" s="2" t="s">
        <v>4870</v>
      </c>
      <c r="B4977" s="1">
        <v>16109</v>
      </c>
      <c r="C4977" t="s">
        <v>4856</v>
      </c>
      <c r="D4977" t="s">
        <v>4824</v>
      </c>
    </row>
    <row r="4978" spans="1:4" x14ac:dyDescent="0.25">
      <c r="A4978" s="2" t="s">
        <v>4871</v>
      </c>
      <c r="B4978" s="1">
        <v>16109</v>
      </c>
      <c r="C4978" t="s">
        <v>4856</v>
      </c>
      <c r="D4978" t="s">
        <v>4824</v>
      </c>
    </row>
    <row r="4979" spans="1:4" x14ac:dyDescent="0.25">
      <c r="A4979" s="2" t="s">
        <v>4872</v>
      </c>
      <c r="B4979" s="1">
        <v>16109</v>
      </c>
      <c r="C4979" t="s">
        <v>4856</v>
      </c>
      <c r="D4979" t="s">
        <v>4824</v>
      </c>
    </row>
    <row r="4980" spans="1:4" x14ac:dyDescent="0.25">
      <c r="A4980" s="2" t="s">
        <v>4873</v>
      </c>
      <c r="B4980" s="1">
        <v>16109</v>
      </c>
      <c r="C4980" t="s">
        <v>4856</v>
      </c>
      <c r="D4980" t="s">
        <v>4824</v>
      </c>
    </row>
    <row r="4981" spans="1:4" x14ac:dyDescent="0.25">
      <c r="A4981" s="2" t="s">
        <v>4874</v>
      </c>
      <c r="B4981" s="1">
        <v>16162</v>
      </c>
      <c r="C4981" t="s">
        <v>4856</v>
      </c>
      <c r="D4981" t="s">
        <v>4824</v>
      </c>
    </row>
    <row r="4982" spans="1:4" x14ac:dyDescent="0.25">
      <c r="A4982" s="2" t="s">
        <v>4875</v>
      </c>
      <c r="B4982" s="1">
        <v>16241</v>
      </c>
      <c r="C4982" t="s">
        <v>4856</v>
      </c>
      <c r="D4982" t="s">
        <v>4824</v>
      </c>
    </row>
    <row r="4983" spans="1:4" x14ac:dyDescent="0.25">
      <c r="A4983" s="2" t="s">
        <v>4876</v>
      </c>
      <c r="B4983" s="1">
        <v>16291</v>
      </c>
      <c r="C4983" t="s">
        <v>4856</v>
      </c>
      <c r="D4983" t="s">
        <v>4824</v>
      </c>
    </row>
    <row r="4984" spans="1:4" x14ac:dyDescent="0.25">
      <c r="A4984" s="2" t="s">
        <v>4877</v>
      </c>
      <c r="B4984" s="1">
        <v>16283</v>
      </c>
      <c r="C4984" t="s">
        <v>4856</v>
      </c>
      <c r="D4984" t="s">
        <v>4824</v>
      </c>
    </row>
    <row r="4985" spans="1:4" x14ac:dyDescent="0.25">
      <c r="A4985" s="2" t="s">
        <v>4878</v>
      </c>
      <c r="B4985" s="1">
        <v>16283</v>
      </c>
      <c r="C4985" t="s">
        <v>4856</v>
      </c>
      <c r="D4985" t="s">
        <v>4824</v>
      </c>
    </row>
    <row r="4986" spans="1:4" x14ac:dyDescent="0.25">
      <c r="A4986" s="2" t="s">
        <v>4879</v>
      </c>
      <c r="B4986" s="1">
        <v>16283</v>
      </c>
      <c r="C4986" t="s">
        <v>4856</v>
      </c>
      <c r="D4986" t="s">
        <v>4824</v>
      </c>
    </row>
    <row r="4987" spans="1:4" x14ac:dyDescent="0.25">
      <c r="A4987" s="2" t="s">
        <v>4880</v>
      </c>
      <c r="B4987" s="1">
        <v>16340</v>
      </c>
      <c r="C4987" t="s">
        <v>4856</v>
      </c>
      <c r="D4987" t="s">
        <v>4824</v>
      </c>
    </row>
    <row r="4988" spans="1:4" x14ac:dyDescent="0.25">
      <c r="A4988" s="2" t="s">
        <v>4881</v>
      </c>
      <c r="B4988" s="1">
        <v>16255</v>
      </c>
      <c r="C4988" t="s">
        <v>4856</v>
      </c>
      <c r="D4988" t="s">
        <v>4824</v>
      </c>
    </row>
    <row r="4989" spans="1:4" x14ac:dyDescent="0.25">
      <c r="A4989" s="2" t="s">
        <v>4882</v>
      </c>
      <c r="B4989" s="1">
        <v>16277</v>
      </c>
      <c r="C4989" t="s">
        <v>4856</v>
      </c>
      <c r="D4989" t="s">
        <v>4824</v>
      </c>
    </row>
    <row r="4990" spans="1:4" x14ac:dyDescent="0.25">
      <c r="A4990" s="2" t="s">
        <v>4883</v>
      </c>
      <c r="B4990" s="1">
        <v>16355</v>
      </c>
      <c r="C4990" t="s">
        <v>4856</v>
      </c>
      <c r="D4990" t="s">
        <v>4824</v>
      </c>
    </row>
    <row r="4991" spans="1:4" x14ac:dyDescent="0.25">
      <c r="A4991" s="2" t="s">
        <v>4884</v>
      </c>
      <c r="B4991" s="1">
        <v>16356</v>
      </c>
      <c r="C4991" t="s">
        <v>4856</v>
      </c>
      <c r="D4991" t="s">
        <v>4824</v>
      </c>
    </row>
    <row r="4992" spans="1:4" x14ac:dyDescent="0.25">
      <c r="A4992" s="2" t="s">
        <v>4885</v>
      </c>
      <c r="B4992" s="1">
        <v>16356</v>
      </c>
      <c r="C4992" t="s">
        <v>4856</v>
      </c>
      <c r="D4992" t="s">
        <v>4824</v>
      </c>
    </row>
    <row r="4993" spans="1:4" x14ac:dyDescent="0.25">
      <c r="A4993" s="2" t="s">
        <v>4886</v>
      </c>
      <c r="B4993" s="1">
        <v>16356</v>
      </c>
      <c r="C4993" t="s">
        <v>4856</v>
      </c>
      <c r="D4993" t="s">
        <v>4824</v>
      </c>
    </row>
    <row r="4994" spans="1:4" x14ac:dyDescent="0.25">
      <c r="A4994" s="2" t="s">
        <v>4887</v>
      </c>
      <c r="B4994" s="1">
        <v>16461</v>
      </c>
      <c r="C4994" t="s">
        <v>4888</v>
      </c>
      <c r="D4994" t="s">
        <v>4824</v>
      </c>
    </row>
    <row r="4995" spans="1:4" x14ac:dyDescent="0.25">
      <c r="A4995" s="2" t="s">
        <v>4889</v>
      </c>
      <c r="B4995" s="1">
        <v>16463</v>
      </c>
      <c r="C4995" t="s">
        <v>4888</v>
      </c>
      <c r="D4995" t="s">
        <v>4824</v>
      </c>
    </row>
    <row r="4996" spans="1:4" x14ac:dyDescent="0.25">
      <c r="A4996" s="2" t="s">
        <v>4890</v>
      </c>
      <c r="B4996" s="1">
        <v>16418</v>
      </c>
      <c r="C4996" t="s">
        <v>4888</v>
      </c>
      <c r="D4996" t="s">
        <v>4824</v>
      </c>
    </row>
    <row r="4997" spans="1:4" x14ac:dyDescent="0.25">
      <c r="A4997" s="2" t="s">
        <v>4891</v>
      </c>
      <c r="B4997" s="1">
        <v>16424</v>
      </c>
      <c r="C4997" t="s">
        <v>4888</v>
      </c>
      <c r="D4997" t="s">
        <v>4824</v>
      </c>
    </row>
    <row r="4998" spans="1:4" x14ac:dyDescent="0.25">
      <c r="A4998" s="2" t="s">
        <v>4892</v>
      </c>
      <c r="B4998" s="1">
        <v>16424</v>
      </c>
      <c r="C4998" t="s">
        <v>4888</v>
      </c>
      <c r="D4998" t="s">
        <v>4824</v>
      </c>
    </row>
    <row r="4999" spans="1:4" x14ac:dyDescent="0.25">
      <c r="A4999" s="2" t="s">
        <v>4893</v>
      </c>
      <c r="B4999" s="1">
        <v>16424</v>
      </c>
      <c r="C4999" t="s">
        <v>4888</v>
      </c>
      <c r="D4999" t="s">
        <v>4824</v>
      </c>
    </row>
    <row r="5000" spans="1:4" x14ac:dyDescent="0.25">
      <c r="A5000" s="2" t="s">
        <v>4894</v>
      </c>
      <c r="B5000" s="1">
        <v>16424</v>
      </c>
      <c r="C5000" t="s">
        <v>4888</v>
      </c>
      <c r="D5000" t="s">
        <v>4824</v>
      </c>
    </row>
    <row r="5001" spans="1:4" x14ac:dyDescent="0.25">
      <c r="A5001" s="2" t="s">
        <v>4895</v>
      </c>
      <c r="B5001" s="1">
        <v>16438</v>
      </c>
      <c r="C5001" t="s">
        <v>4888</v>
      </c>
      <c r="D5001" t="s">
        <v>4824</v>
      </c>
    </row>
    <row r="5002" spans="1:4" x14ac:dyDescent="0.25">
      <c r="A5002" s="2" t="s">
        <v>4896</v>
      </c>
      <c r="B5002" s="1">
        <v>16348</v>
      </c>
      <c r="C5002" t="s">
        <v>4888</v>
      </c>
      <c r="D5002" t="s">
        <v>4824</v>
      </c>
    </row>
    <row r="5003" spans="1:4" x14ac:dyDescent="0.25">
      <c r="A5003" s="2" t="s">
        <v>4897</v>
      </c>
      <c r="B5003" s="1">
        <v>16462</v>
      </c>
      <c r="C5003" t="s">
        <v>4888</v>
      </c>
      <c r="D5003" t="s">
        <v>4824</v>
      </c>
    </row>
    <row r="5004" spans="1:4" x14ac:dyDescent="0.25">
      <c r="A5004" s="2" t="s">
        <v>4898</v>
      </c>
      <c r="B5004" s="1">
        <v>16457</v>
      </c>
      <c r="C5004" t="s">
        <v>4888</v>
      </c>
      <c r="D5004" t="s">
        <v>4824</v>
      </c>
    </row>
    <row r="5005" spans="1:4" x14ac:dyDescent="0.25">
      <c r="A5005" s="2" t="s">
        <v>4899</v>
      </c>
      <c r="B5005" s="1">
        <v>16468</v>
      </c>
      <c r="C5005" t="s">
        <v>4888</v>
      </c>
      <c r="D5005" t="s">
        <v>4824</v>
      </c>
    </row>
    <row r="5006" spans="1:4" x14ac:dyDescent="0.25">
      <c r="A5006" s="2" t="s">
        <v>4900</v>
      </c>
      <c r="B5006" s="1">
        <v>16468</v>
      </c>
      <c r="C5006" t="s">
        <v>4888</v>
      </c>
      <c r="D5006" t="s">
        <v>4824</v>
      </c>
    </row>
    <row r="5007" spans="1:4" x14ac:dyDescent="0.25">
      <c r="A5007" s="2" t="s">
        <v>4901</v>
      </c>
      <c r="B5007" s="1">
        <v>16468</v>
      </c>
      <c r="C5007" t="s">
        <v>4888</v>
      </c>
      <c r="D5007" t="s">
        <v>4824</v>
      </c>
    </row>
    <row r="5008" spans="1:4" x14ac:dyDescent="0.25">
      <c r="A5008" s="2" t="s">
        <v>4902</v>
      </c>
      <c r="B5008" s="1">
        <v>16391</v>
      </c>
      <c r="C5008" t="s">
        <v>4888</v>
      </c>
      <c r="D5008" t="s">
        <v>4824</v>
      </c>
    </row>
    <row r="5009" spans="1:4" x14ac:dyDescent="0.25">
      <c r="A5009" s="2" t="s">
        <v>4903</v>
      </c>
      <c r="B5009" s="1">
        <v>16405</v>
      </c>
      <c r="C5009" t="s">
        <v>4888</v>
      </c>
      <c r="D5009" t="s">
        <v>4824</v>
      </c>
    </row>
    <row r="5010" spans="1:4" x14ac:dyDescent="0.25">
      <c r="A5010" s="2" t="s">
        <v>4904</v>
      </c>
      <c r="B5010" s="1">
        <v>16385</v>
      </c>
      <c r="C5010" t="s">
        <v>4888</v>
      </c>
      <c r="D5010" t="s">
        <v>4824</v>
      </c>
    </row>
    <row r="5011" spans="1:4" x14ac:dyDescent="0.25">
      <c r="A5011" s="2" t="s">
        <v>4905</v>
      </c>
      <c r="B5011" s="1">
        <v>16430</v>
      </c>
      <c r="C5011" t="s">
        <v>4888</v>
      </c>
      <c r="D5011" t="s">
        <v>4824</v>
      </c>
    </row>
    <row r="5012" spans="1:4" x14ac:dyDescent="0.25">
      <c r="A5012" s="2" t="s">
        <v>4906</v>
      </c>
      <c r="B5012" s="1">
        <v>16498</v>
      </c>
      <c r="C5012" t="s">
        <v>4888</v>
      </c>
      <c r="D5012" t="s">
        <v>4824</v>
      </c>
    </row>
    <row r="5013" spans="1:4" x14ac:dyDescent="0.25">
      <c r="A5013" s="2" t="s">
        <v>4907</v>
      </c>
      <c r="B5013" s="1">
        <v>16498</v>
      </c>
      <c r="C5013" t="s">
        <v>4888</v>
      </c>
      <c r="D5013" t="s">
        <v>4824</v>
      </c>
    </row>
    <row r="5014" spans="1:4" x14ac:dyDescent="0.25">
      <c r="A5014" s="2" t="s">
        <v>4908</v>
      </c>
      <c r="B5014" s="1">
        <v>16498</v>
      </c>
      <c r="C5014" t="s">
        <v>4888</v>
      </c>
      <c r="D5014" t="s">
        <v>4824</v>
      </c>
    </row>
    <row r="5015" spans="1:4" x14ac:dyDescent="0.25">
      <c r="A5015" s="2" t="s">
        <v>4909</v>
      </c>
      <c r="B5015" s="1">
        <v>16578</v>
      </c>
      <c r="C5015" t="s">
        <v>4888</v>
      </c>
      <c r="D5015" t="s">
        <v>4824</v>
      </c>
    </row>
    <row r="5016" spans="1:4" x14ac:dyDescent="0.25">
      <c r="A5016" s="2" t="s">
        <v>4910</v>
      </c>
      <c r="B5016" s="1">
        <v>16607</v>
      </c>
      <c r="C5016" t="s">
        <v>4888</v>
      </c>
      <c r="D5016" t="s">
        <v>4824</v>
      </c>
    </row>
    <row r="5017" spans="1:4" x14ac:dyDescent="0.25">
      <c r="A5017" s="2" t="s">
        <v>4911</v>
      </c>
      <c r="B5017" s="1">
        <v>16636</v>
      </c>
      <c r="C5017" t="s">
        <v>4888</v>
      </c>
      <c r="D5017" t="s">
        <v>4824</v>
      </c>
    </row>
    <row r="5018" spans="1:4" x14ac:dyDescent="0.25">
      <c r="A5018" s="2" t="s">
        <v>4912</v>
      </c>
      <c r="B5018" s="1">
        <v>16680</v>
      </c>
      <c r="C5018" t="s">
        <v>4888</v>
      </c>
      <c r="D5018" t="s">
        <v>4824</v>
      </c>
    </row>
    <row r="5019" spans="1:4" x14ac:dyDescent="0.25">
      <c r="A5019" s="2" t="s">
        <v>4913</v>
      </c>
      <c r="B5019" s="1">
        <v>16752</v>
      </c>
      <c r="C5019" t="s">
        <v>4888</v>
      </c>
      <c r="D5019" t="s">
        <v>4824</v>
      </c>
    </row>
    <row r="5020" spans="1:4" x14ac:dyDescent="0.25">
      <c r="A5020" s="2" t="s">
        <v>4914</v>
      </c>
      <c r="B5020" s="1">
        <v>16752</v>
      </c>
      <c r="C5020" t="s">
        <v>4888</v>
      </c>
      <c r="D5020" t="s">
        <v>4824</v>
      </c>
    </row>
    <row r="5021" spans="1:4" x14ac:dyDescent="0.25">
      <c r="A5021" s="2" t="s">
        <v>4915</v>
      </c>
      <c r="B5021" s="1">
        <v>16752</v>
      </c>
      <c r="C5021" t="s">
        <v>4888</v>
      </c>
      <c r="D5021" t="s">
        <v>4824</v>
      </c>
    </row>
    <row r="5022" spans="1:4" x14ac:dyDescent="0.25">
      <c r="A5022" s="2" t="s">
        <v>4916</v>
      </c>
      <c r="B5022" s="1">
        <v>16775</v>
      </c>
      <c r="C5022" t="s">
        <v>4888</v>
      </c>
      <c r="D5022" t="s">
        <v>4824</v>
      </c>
    </row>
    <row r="5023" spans="1:4" x14ac:dyDescent="0.25">
      <c r="A5023" s="2" t="s">
        <v>4917</v>
      </c>
      <c r="B5023" s="1">
        <v>16680</v>
      </c>
      <c r="C5023" t="s">
        <v>4888</v>
      </c>
      <c r="D5023" t="s">
        <v>4824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6"/>
  <sheetViews>
    <sheetView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1" max="7" width="22" customWidth="1"/>
  </cols>
  <sheetData>
    <row r="1" spans="1:7" x14ac:dyDescent="0.25">
      <c r="A1" t="s">
        <v>4918</v>
      </c>
      <c r="B1" t="s">
        <v>4919</v>
      </c>
      <c r="C1" t="s">
        <v>4920</v>
      </c>
      <c r="D1" t="s">
        <v>4921</v>
      </c>
      <c r="E1" t="s">
        <v>0</v>
      </c>
      <c r="F1" t="s">
        <v>4922</v>
      </c>
      <c r="G1" t="s">
        <v>4923</v>
      </c>
    </row>
    <row r="2" spans="1:7" x14ac:dyDescent="0.25">
      <c r="A2" t="s">
        <v>4932</v>
      </c>
      <c r="B2" s="1">
        <f>AVERAGE(Daily_FX!B2:B32)</f>
        <v>9092.4193548387102</v>
      </c>
      <c r="C2">
        <f t="shared" ref="C2:C13" si="0">IFERROR(LN(B2),"")</f>
        <v>9.115196307406217</v>
      </c>
      <c r="E2" t="str">
        <f t="shared" ref="E2:E13" si="1">LEFT(A2,4)&amp;"Q"&amp;ROUNDUP(VALUE(RIGHT(A2,2))/3,0)</f>
        <v>2012Q1</v>
      </c>
    </row>
    <row r="3" spans="1:7" x14ac:dyDescent="0.25">
      <c r="A3" t="s">
        <v>4934</v>
      </c>
      <c r="B3" s="1">
        <f>AVERAGE(Daily_FX!B33:B61)</f>
        <v>9014.2413793103442</v>
      </c>
      <c r="C3">
        <f t="shared" si="0"/>
        <v>9.1065609811603494</v>
      </c>
      <c r="D3">
        <f t="shared" ref="D3" si="2">IFERROR(C3-C2,"")</f>
        <v>-8.6353262458676028E-3</v>
      </c>
      <c r="E3" t="str">
        <f t="shared" si="1"/>
        <v>2012Q1</v>
      </c>
    </row>
    <row r="4" spans="1:7" x14ac:dyDescent="0.25">
      <c r="A4" t="s">
        <v>4935</v>
      </c>
      <c r="B4" s="1">
        <f>AVERAGE(Daily_FX!B62:B92)</f>
        <v>9161.5806451612898</v>
      </c>
      <c r="C4">
        <f t="shared" si="0"/>
        <v>9.1227740022969197</v>
      </c>
      <c r="D4">
        <f>IFERROR(C4-C3,"")</f>
        <v>1.6213021136570305E-2</v>
      </c>
      <c r="E4" t="str">
        <f t="shared" si="1"/>
        <v>2012Q1</v>
      </c>
    </row>
    <row r="5" spans="1:7" x14ac:dyDescent="0.25">
      <c r="A5" t="s">
        <v>4936</v>
      </c>
      <c r="B5" s="1">
        <f>AVERAGE(Daily_FX!B93:B122)</f>
        <v>9175.4333333333325</v>
      </c>
      <c r="C5">
        <f t="shared" si="0"/>
        <v>9.1242849015985783</v>
      </c>
      <c r="D5">
        <f t="shared" ref="D5:D12" si="3">IFERROR(C5-C4,"")</f>
        <v>1.510899301658597E-3</v>
      </c>
      <c r="E5" t="str">
        <f t="shared" si="1"/>
        <v>2012Q2</v>
      </c>
    </row>
    <row r="6" spans="1:7" x14ac:dyDescent="0.25">
      <c r="A6" t="s">
        <v>4938</v>
      </c>
      <c r="B6" s="1">
        <f>AVERAGE(Daily_FX!B123:B153)</f>
        <v>9278.4193548387102</v>
      </c>
      <c r="C6">
        <f t="shared" si="0"/>
        <v>9.1354464831303801</v>
      </c>
      <c r="D6">
        <f t="shared" si="3"/>
        <v>1.1161581531801801E-2</v>
      </c>
      <c r="E6" t="str">
        <f t="shared" si="1"/>
        <v>2012Q2</v>
      </c>
    </row>
    <row r="7" spans="1:7" x14ac:dyDescent="0.25">
      <c r="A7" t="s">
        <v>4939</v>
      </c>
      <c r="B7" s="1">
        <f>AVERAGE(Daily_FX!B154:B183)</f>
        <v>9445.6</v>
      </c>
      <c r="C7">
        <f t="shared" si="0"/>
        <v>9.1533043035929005</v>
      </c>
      <c r="D7">
        <f t="shared" si="3"/>
        <v>1.785782046252038E-2</v>
      </c>
      <c r="E7" t="str">
        <f t="shared" si="1"/>
        <v>2012Q2</v>
      </c>
    </row>
    <row r="8" spans="1:7" x14ac:dyDescent="0.25">
      <c r="A8" t="s">
        <v>4940</v>
      </c>
      <c r="B8" s="1">
        <f>AVERAGE(Daily_FX!B184:B214)</f>
        <v>9458.6129032258068</v>
      </c>
      <c r="C8">
        <f t="shared" si="0"/>
        <v>9.1546810237290686</v>
      </c>
      <c r="D8">
        <f t="shared" si="3"/>
        <v>1.3767201361680748E-3</v>
      </c>
      <c r="E8" t="str">
        <f t="shared" si="1"/>
        <v>2012Q3</v>
      </c>
    </row>
    <row r="9" spans="1:7" x14ac:dyDescent="0.25">
      <c r="A9" t="s">
        <v>4942</v>
      </c>
      <c r="B9" s="1">
        <f>AVERAGE(Daily_FX!B215:B245)</f>
        <v>9497.322580645161</v>
      </c>
      <c r="C9">
        <f t="shared" si="0"/>
        <v>9.1587652042497769</v>
      </c>
      <c r="D9">
        <f t="shared" si="3"/>
        <v>4.0841805207083581E-3</v>
      </c>
      <c r="E9" t="str">
        <f t="shared" si="1"/>
        <v>2012Q3</v>
      </c>
    </row>
    <row r="10" spans="1:7" x14ac:dyDescent="0.25">
      <c r="A10" t="s">
        <v>4943</v>
      </c>
      <c r="B10" s="1">
        <f>AVERAGE(Daily_FX!B246:B275)</f>
        <v>9569.0333333333328</v>
      </c>
      <c r="C10">
        <f t="shared" si="0"/>
        <v>9.1662874692441267</v>
      </c>
      <c r="D10">
        <f t="shared" si="3"/>
        <v>7.5222649943498254E-3</v>
      </c>
      <c r="E10" t="str">
        <f t="shared" si="1"/>
        <v>2012Q3</v>
      </c>
    </row>
    <row r="11" spans="1:7" x14ac:dyDescent="0.25">
      <c r="A11" t="s">
        <v>4944</v>
      </c>
      <c r="B11" s="1">
        <f>AVERAGE(Daily_FX!B276:B306)</f>
        <v>9598.354838709678</v>
      </c>
      <c r="C11">
        <f>IFERROR(LN(B11),"")</f>
        <v>9.1693469918025041</v>
      </c>
      <c r="D11">
        <f>IFERROR(C11-C10,"")</f>
        <v>3.0595225583773811E-3</v>
      </c>
      <c r="E11" t="str">
        <f t="shared" si="1"/>
        <v>2012Q4</v>
      </c>
    </row>
    <row r="12" spans="1:7" x14ac:dyDescent="0.25">
      <c r="A12" t="s">
        <v>4946</v>
      </c>
      <c r="B12" s="1">
        <f>AVERAGE(Daily_FX!B307:B336)</f>
        <v>9629.6333333333332</v>
      </c>
      <c r="C12">
        <f t="shared" si="0"/>
        <v>9.1726004286086464</v>
      </c>
      <c r="D12">
        <f t="shared" si="3"/>
        <v>3.253436806142318E-3</v>
      </c>
      <c r="E12" t="str">
        <f t="shared" si="1"/>
        <v>2012Q4</v>
      </c>
    </row>
    <row r="13" spans="1:7" x14ac:dyDescent="0.25">
      <c r="A13" t="s">
        <v>4947</v>
      </c>
      <c r="B13" s="1">
        <f>AVERAGE(Daily_FX!B337:B367)</f>
        <v>9649.4838709677424</v>
      </c>
      <c r="C13">
        <f t="shared" si="0"/>
        <v>9.1746597080288552</v>
      </c>
      <c r="D13">
        <f>IFERROR(C13-C12,"")</f>
        <v>2.0592794202087816E-3</v>
      </c>
      <c r="E13" t="str">
        <f t="shared" si="1"/>
        <v>2012Q4</v>
      </c>
    </row>
    <row r="14" spans="1:7" x14ac:dyDescent="0.25">
      <c r="A14" t="s">
        <v>75</v>
      </c>
      <c r="B14" s="1">
        <f>AVERAGE(Daily_FX!B368:B398)</f>
        <v>9679.5161290322576</v>
      </c>
      <c r="C14">
        <f t="shared" ref="C14:C45" si="4">IFERROR(LN(B14),"")</f>
        <v>9.1777671923510269</v>
      </c>
      <c r="D14">
        <f>IFERROR(C14-C13,"")</f>
        <v>3.1074843221716719E-3</v>
      </c>
      <c r="E14" t="str">
        <f t="shared" ref="E14:E45" si="5">LEFT(A14,4)&amp;"Q"&amp;ROUNDUP(VALUE(RIGHT(A14,2))/3,0)</f>
        <v>2013Q1</v>
      </c>
      <c r="F14">
        <f ca="1">IF(ROW()&gt;4,_xlfn.STDEV.S(OFFSET(D14,-2,0,3,1)),NA())</f>
        <v>6.5141480722806359E-4</v>
      </c>
      <c r="G14">
        <f ca="1">IF(ROW()&gt;13,_xlfn.STDEV.S(OFFSET(D14,-11,0,12,1)),NA())</f>
        <v>7.1728004350774532E-3</v>
      </c>
    </row>
    <row r="15" spans="1:7" x14ac:dyDescent="0.25">
      <c r="A15" t="s">
        <v>107</v>
      </c>
      <c r="B15" s="1">
        <f>AVERAGE(Daily_FX!B399:B426)</f>
        <v>9689.1785714285706</v>
      </c>
      <c r="C15">
        <f t="shared" si="4"/>
        <v>9.1787649305411634</v>
      </c>
      <c r="D15">
        <f t="shared" ref="D15:D46" si="6">IFERROR(C15-C14,"")</f>
        <v>9.977381901364879E-4</v>
      </c>
      <c r="E15" t="str">
        <f t="shared" si="5"/>
        <v>2013Q1</v>
      </c>
      <c r="F15">
        <f ca="1">IF(ROW()&gt;4,_xlfn.STDEV.S(OFFSET(D15,-2,0,3,1)),NA())</f>
        <v>1.0548800912331105E-3</v>
      </c>
      <c r="G15">
        <f t="shared" ref="G15:G78" ca="1" si="7">IF(ROW()&gt;13,_xlfn.STDEV.S(OFFSET(D15,-11,0,12,1)),NA())</f>
        <v>5.9097387041801312E-3</v>
      </c>
    </row>
    <row r="16" spans="1:7" x14ac:dyDescent="0.25">
      <c r="A16" t="s">
        <v>136</v>
      </c>
      <c r="B16" s="1">
        <f>AVERAGE(Daily_FX!B427:B457)</f>
        <v>9707.8064516129034</v>
      </c>
      <c r="C16">
        <f t="shared" si="4"/>
        <v>9.1806856296486643</v>
      </c>
      <c r="D16">
        <f>IFERROR(C16-C15,"")</f>
        <v>1.9206991075009228E-3</v>
      </c>
      <c r="E16" t="str">
        <f t="shared" si="5"/>
        <v>2013Q1</v>
      </c>
      <c r="F16">
        <f ca="1">IF(ROW()&gt;4,_xlfn.STDEV.S(OFFSET(D16,-2,0,3,1)),NA())</f>
        <v>1.0576187673559186E-3</v>
      </c>
      <c r="G16">
        <f t="shared" ca="1" si="7"/>
        <v>5.0450092476131891E-3</v>
      </c>
    </row>
    <row r="17" spans="1:7" x14ac:dyDescent="0.25">
      <c r="A17" t="s">
        <v>168</v>
      </c>
      <c r="B17" s="1">
        <f>AVERAGE(Daily_FX!B458:B487)</f>
        <v>9723.8333333333339</v>
      </c>
      <c r="C17">
        <f t="shared" si="4"/>
        <v>9.1823351955661057</v>
      </c>
      <c r="D17">
        <f t="shared" si="6"/>
        <v>1.6495659174413646E-3</v>
      </c>
      <c r="E17" t="str">
        <f t="shared" si="5"/>
        <v>2013Q2</v>
      </c>
      <c r="F17">
        <f ca="1">IF(ROW()&gt;4,_xlfn.STDEV.S(OFFSET(D17,-2,0,3,1)),NA())</f>
        <v>4.7438547051554186E-4</v>
      </c>
      <c r="G17">
        <f t="shared" ca="1" si="7"/>
        <v>5.0368780778044962E-3</v>
      </c>
    </row>
    <row r="18" spans="1:7" x14ac:dyDescent="0.25">
      <c r="A18" t="s">
        <v>199</v>
      </c>
      <c r="B18" s="1">
        <f>AVERAGE(Daily_FX!B488:B518)</f>
        <v>9758.0645161290322</v>
      </c>
      <c r="C18">
        <f t="shared" si="4"/>
        <v>9.185849351967887</v>
      </c>
      <c r="D18">
        <f t="shared" si="6"/>
        <v>3.5141564017813209E-3</v>
      </c>
      <c r="E18" t="str">
        <f t="shared" si="5"/>
        <v>2013Q2</v>
      </c>
      <c r="F18">
        <f ca="1">IF(ROW()&gt;4,_xlfn.STDEV.S(OFFSET(D18,-2,0,3,1)),NA())</f>
        <v>1.0074155903216236E-3</v>
      </c>
      <c r="G18">
        <f t="shared" ca="1" si="7"/>
        <v>4.6314690544399378E-3</v>
      </c>
    </row>
    <row r="19" spans="1:7" x14ac:dyDescent="0.25">
      <c r="A19" t="s">
        <v>231</v>
      </c>
      <c r="B19" s="1">
        <f>AVERAGE(Daily_FX!B519:B548)</f>
        <v>9876.3333333333339</v>
      </c>
      <c r="C19">
        <f t="shared" si="4"/>
        <v>9.1978966017518413</v>
      </c>
      <c r="D19">
        <f t="shared" si="6"/>
        <v>1.2047249783954328E-2</v>
      </c>
      <c r="E19" t="str">
        <f t="shared" si="5"/>
        <v>2013Q2</v>
      </c>
      <c r="F19">
        <f t="shared" ref="F19:F81" ca="1" si="8">IF(ROW()&gt;4,_xlfn.STDEV.S(OFFSET(D19,-2,0,3,1)),NA())</f>
        <v>5.5437984891696752E-3</v>
      </c>
      <c r="G19">
        <f t="shared" ca="1" si="7"/>
        <v>3.1361245381436261E-3</v>
      </c>
    </row>
    <row r="20" spans="1:7" x14ac:dyDescent="0.25">
      <c r="A20" t="s">
        <v>262</v>
      </c>
      <c r="B20" s="1">
        <f>AVERAGE(Daily_FX!B549:B579)</f>
        <v>10071.225806451614</v>
      </c>
      <c r="C20">
        <f t="shared" si="4"/>
        <v>9.2174377068496334</v>
      </c>
      <c r="D20">
        <f t="shared" si="6"/>
        <v>1.9541105097792055E-2</v>
      </c>
      <c r="E20" t="str">
        <f t="shared" si="5"/>
        <v>2013Q3</v>
      </c>
      <c r="F20">
        <f t="shared" ca="1" si="8"/>
        <v>8.0190880054839472E-3</v>
      </c>
      <c r="G20">
        <f t="shared" ca="1" si="7"/>
        <v>5.4410348278995727E-3</v>
      </c>
    </row>
    <row r="21" spans="1:7" x14ac:dyDescent="0.25">
      <c r="A21" t="s">
        <v>294</v>
      </c>
      <c r="B21" s="1">
        <f>AVERAGE(Daily_FX!B580:B610)</f>
        <v>10516.548387096775</v>
      </c>
      <c r="C21">
        <f t="shared" si="4"/>
        <v>9.2607053323692341</v>
      </c>
      <c r="D21">
        <f t="shared" si="6"/>
        <v>4.3267625519600728E-2</v>
      </c>
      <c r="E21" t="str">
        <f t="shared" si="5"/>
        <v>2013Q3</v>
      </c>
      <c r="F21">
        <f t="shared" ca="1" si="8"/>
        <v>1.629835114291308E-2</v>
      </c>
      <c r="G21">
        <f t="shared" ca="1" si="7"/>
        <v>1.222247548638542E-2</v>
      </c>
    </row>
    <row r="22" spans="1:7" x14ac:dyDescent="0.25">
      <c r="A22" t="s">
        <v>326</v>
      </c>
      <c r="B22" s="1">
        <f>AVERAGE(Daily_FX!B611:B640)</f>
        <v>11338.433333333332</v>
      </c>
      <c r="C22">
        <f t="shared" si="4"/>
        <v>9.3359534137105538</v>
      </c>
      <c r="D22">
        <f t="shared" si="6"/>
        <v>7.5248081341319661E-2</v>
      </c>
      <c r="E22" t="str">
        <f t="shared" si="5"/>
        <v>2013Q3</v>
      </c>
      <c r="F22">
        <f t="shared" ca="1" si="8"/>
        <v>2.7955215756898185E-2</v>
      </c>
      <c r="G22">
        <f t="shared" ca="1" si="7"/>
        <v>2.2795677426872121E-2</v>
      </c>
    </row>
    <row r="23" spans="1:7" x14ac:dyDescent="0.25">
      <c r="A23" t="s">
        <v>357</v>
      </c>
      <c r="B23" s="1">
        <f>AVERAGE(Daily_FX!B641:B671)</f>
        <v>11374.741935483871</v>
      </c>
      <c r="C23">
        <f t="shared" si="4"/>
        <v>9.3391505565713686</v>
      </c>
      <c r="D23">
        <f t="shared" si="6"/>
        <v>3.19714286081485E-3</v>
      </c>
      <c r="E23" t="str">
        <f t="shared" si="5"/>
        <v>2013Q4</v>
      </c>
      <c r="F23">
        <f t="shared" ca="1" si="8"/>
        <v>3.6101086943457497E-2</v>
      </c>
      <c r="G23">
        <f t="shared" ca="1" si="7"/>
        <v>2.2789630594543357E-2</v>
      </c>
    </row>
    <row r="24" spans="1:7" x14ac:dyDescent="0.25">
      <c r="A24" t="s">
        <v>389</v>
      </c>
      <c r="B24" s="1">
        <f>AVERAGE(Daily_FX!B672:B701)</f>
        <v>11589.266666666666</v>
      </c>
      <c r="C24">
        <f t="shared" si="4"/>
        <v>9.3578346613955414</v>
      </c>
      <c r="D24">
        <f t="shared" si="6"/>
        <v>1.868410482417282E-2</v>
      </c>
      <c r="E24" t="str">
        <f t="shared" si="5"/>
        <v>2013Q4</v>
      </c>
      <c r="F24">
        <f t="shared" ca="1" si="8"/>
        <v>3.7926831237283548E-2</v>
      </c>
      <c r="G24">
        <f t="shared" ca="1" si="7"/>
        <v>2.2552991359800694E-2</v>
      </c>
    </row>
    <row r="25" spans="1:7" x14ac:dyDescent="0.25">
      <c r="A25" t="s">
        <v>420</v>
      </c>
      <c r="B25" s="1">
        <f>AVERAGE(Daily_FX!B702:B732)</f>
        <v>12104.548387096775</v>
      </c>
      <c r="C25">
        <f t="shared" si="4"/>
        <v>9.4013365607122825</v>
      </c>
      <c r="D25">
        <f t="shared" si="6"/>
        <v>4.3501899316741088E-2</v>
      </c>
      <c r="E25" t="str">
        <f t="shared" si="5"/>
        <v>2013Q4</v>
      </c>
      <c r="F25">
        <f t="shared" ca="1" si="8"/>
        <v>2.0331594081221538E-2</v>
      </c>
      <c r="G25">
        <f t="shared" ca="1" si="7"/>
        <v>2.3472672722799463E-2</v>
      </c>
    </row>
    <row r="26" spans="1:7" x14ac:dyDescent="0.25">
      <c r="A26" t="s">
        <v>452</v>
      </c>
      <c r="B26" s="1">
        <f>AVERAGE(Daily_FX!B733:B763)</f>
        <v>12177.709677419354</v>
      </c>
      <c r="C26">
        <f t="shared" si="4"/>
        <v>9.4073624839614798</v>
      </c>
      <c r="D26">
        <f t="shared" si="6"/>
        <v>6.0259232491972625E-3</v>
      </c>
      <c r="E26" t="str">
        <f t="shared" si="5"/>
        <v>2014Q1</v>
      </c>
      <c r="F26">
        <f t="shared" ca="1" si="8"/>
        <v>1.9063933078265531E-2</v>
      </c>
      <c r="G26">
        <f t="shared" ca="1" si="7"/>
        <v>2.3308832580373719E-2</v>
      </c>
    </row>
    <row r="27" spans="1:7" x14ac:dyDescent="0.25">
      <c r="A27" t="s">
        <v>484</v>
      </c>
      <c r="B27" s="1">
        <f>AVERAGE(Daily_FX!B764:B791)</f>
        <v>11959.357142857143</v>
      </c>
      <c r="C27">
        <f t="shared" si="4"/>
        <v>9.3892692754627785</v>
      </c>
      <c r="D27">
        <f t="shared" si="6"/>
        <v>-1.809320849870133E-2</v>
      </c>
      <c r="E27" t="str">
        <f t="shared" si="5"/>
        <v>2014Q1</v>
      </c>
      <c r="F27">
        <f t="shared" ca="1" si="8"/>
        <v>3.1037983733063757E-2</v>
      </c>
      <c r="G27">
        <f t="shared" ca="1" si="7"/>
        <v>2.5231378448827956E-2</v>
      </c>
    </row>
    <row r="28" spans="1:7" x14ac:dyDescent="0.25">
      <c r="A28" t="s">
        <v>513</v>
      </c>
      <c r="B28" s="1">
        <f>AVERAGE(Daily_FX!B792:B822)</f>
        <v>11435.967741935483</v>
      </c>
      <c r="C28">
        <f t="shared" si="4"/>
        <v>9.3445187326910641</v>
      </c>
      <c r="D28">
        <f t="shared" si="6"/>
        <v>-4.4750542771714308E-2</v>
      </c>
      <c r="E28" t="str">
        <f t="shared" si="5"/>
        <v>2014Q1</v>
      </c>
      <c r="F28">
        <f t="shared" ca="1" si="8"/>
        <v>2.5398804067607954E-2</v>
      </c>
      <c r="G28">
        <f t="shared" ca="1" si="7"/>
        <v>3.0833376987334508E-2</v>
      </c>
    </row>
    <row r="29" spans="1:7" x14ac:dyDescent="0.25">
      <c r="A29" t="s">
        <v>545</v>
      </c>
      <c r="B29" s="1">
        <f>AVERAGE(Daily_FX!B823:B852)</f>
        <v>11433.333333333334</v>
      </c>
      <c r="C29">
        <f t="shared" si="4"/>
        <v>9.3442883444859213</v>
      </c>
      <c r="D29">
        <f t="shared" si="6"/>
        <v>-2.3038820514287295E-4</v>
      </c>
      <c r="E29" t="str">
        <f t="shared" si="5"/>
        <v>2014Q2</v>
      </c>
      <c r="F29">
        <f t="shared" ca="1" si="8"/>
        <v>2.2404381944962342E-2</v>
      </c>
      <c r="G29">
        <f t="shared" ca="1" si="7"/>
        <v>3.0904602647067628E-2</v>
      </c>
    </row>
    <row r="30" spans="1:7" x14ac:dyDescent="0.25">
      <c r="A30" t="s">
        <v>576</v>
      </c>
      <c r="B30" s="1">
        <f>AVERAGE(Daily_FX!B853:B883)</f>
        <v>11532.032258064517</v>
      </c>
      <c r="C30">
        <f t="shared" si="4"/>
        <v>9.3528838560197745</v>
      </c>
      <c r="D30">
        <f t="shared" si="6"/>
        <v>8.595511533853184E-3</v>
      </c>
      <c r="E30" t="str">
        <f t="shared" si="5"/>
        <v>2014Q2</v>
      </c>
      <c r="F30">
        <f t="shared" ca="1" si="8"/>
        <v>2.8594119963163689E-2</v>
      </c>
      <c r="G30">
        <f t="shared" ca="1" si="7"/>
        <v>3.0789998441419778E-2</v>
      </c>
    </row>
    <row r="31" spans="1:7" x14ac:dyDescent="0.25">
      <c r="A31" t="s">
        <v>608</v>
      </c>
      <c r="B31" s="1">
        <f>AVERAGE(Daily_FX!B884:B913)</f>
        <v>11890.133333333333</v>
      </c>
      <c r="C31">
        <f t="shared" si="4"/>
        <v>9.3834642035271951</v>
      </c>
      <c r="D31">
        <f t="shared" si="6"/>
        <v>3.0580347507420669E-2</v>
      </c>
      <c r="E31" t="str">
        <f t="shared" si="5"/>
        <v>2014Q2</v>
      </c>
      <c r="F31">
        <f t="shared" ca="1" si="8"/>
        <v>1.5866794226396815E-2</v>
      </c>
      <c r="G31">
        <f t="shared" ca="1" si="7"/>
        <v>3.1150248839173725E-2</v>
      </c>
    </row>
    <row r="32" spans="1:7" x14ac:dyDescent="0.25">
      <c r="A32" t="s">
        <v>639</v>
      </c>
      <c r="B32" s="1">
        <f>AVERAGE(Daily_FX!B914:B944)</f>
        <v>11666.58064516129</v>
      </c>
      <c r="C32">
        <f t="shared" si="4"/>
        <v>9.364483678504369</v>
      </c>
      <c r="D32">
        <f t="shared" si="6"/>
        <v>-1.89805250228261E-2</v>
      </c>
      <c r="E32" t="str">
        <f t="shared" si="5"/>
        <v>2014Q3</v>
      </c>
      <c r="F32">
        <f t="shared" ca="1" si="8"/>
        <v>2.4832944821075047E-2</v>
      </c>
      <c r="G32">
        <f t="shared" ca="1" si="7"/>
        <v>3.2641103933440489E-2</v>
      </c>
    </row>
    <row r="33" spans="1:7" x14ac:dyDescent="0.25">
      <c r="A33" t="s">
        <v>671</v>
      </c>
      <c r="B33" s="1">
        <f>AVERAGE(Daily_FX!B945:B975)</f>
        <v>11697.225806451614</v>
      </c>
      <c r="C33">
        <f t="shared" si="4"/>
        <v>9.3671069821110038</v>
      </c>
      <c r="D33">
        <f t="shared" si="6"/>
        <v>2.6233036066347637E-3</v>
      </c>
      <c r="E33" t="str">
        <f t="shared" si="5"/>
        <v>2014Q3</v>
      </c>
      <c r="F33">
        <f t="shared" ca="1" si="8"/>
        <v>2.484821187758773E-2</v>
      </c>
      <c r="G33">
        <f t="shared" ca="1" si="7"/>
        <v>3.1207642598794091E-2</v>
      </c>
    </row>
    <row r="34" spans="1:7" x14ac:dyDescent="0.25">
      <c r="A34" t="s">
        <v>703</v>
      </c>
      <c r="B34" s="1">
        <f>AVERAGE(Daily_FX!B976:B1005)</f>
        <v>11892.766666666666</v>
      </c>
      <c r="C34">
        <f t="shared" si="4"/>
        <v>9.3836856511508309</v>
      </c>
      <c r="D34">
        <f t="shared" si="6"/>
        <v>1.6578669039827076E-2</v>
      </c>
      <c r="E34" t="str">
        <f t="shared" si="5"/>
        <v>2014Q3</v>
      </c>
      <c r="F34">
        <f t="shared" ca="1" si="8"/>
        <v>1.7916165504047274E-2</v>
      </c>
      <c r="G34">
        <f t="shared" ca="1" si="7"/>
        <v>2.3508690382733077E-2</v>
      </c>
    </row>
    <row r="35" spans="1:7" x14ac:dyDescent="0.25">
      <c r="A35" t="s">
        <v>734</v>
      </c>
      <c r="B35" s="1">
        <f>AVERAGE(Daily_FX!B1006:B1036)</f>
        <v>12148.645161290322</v>
      </c>
      <c r="C35">
        <f t="shared" si="4"/>
        <v>9.4049729331922425</v>
      </c>
      <c r="D35">
        <f t="shared" si="6"/>
        <v>2.1287282041411615E-2</v>
      </c>
      <c r="E35" t="str">
        <f t="shared" si="5"/>
        <v>2014Q4</v>
      </c>
      <c r="F35">
        <f t="shared" ca="1" si="8"/>
        <v>9.706246715272638E-3</v>
      </c>
      <c r="G35">
        <f t="shared" ca="1" si="7"/>
        <v>2.4028364895594692E-2</v>
      </c>
    </row>
    <row r="36" spans="1:7" x14ac:dyDescent="0.25">
      <c r="A36" t="s">
        <v>766</v>
      </c>
      <c r="B36" s="1">
        <f>AVERAGE(Daily_FX!B1037:B1066)</f>
        <v>12158.466666666667</v>
      </c>
      <c r="C36">
        <f t="shared" si="4"/>
        <v>9.4057810510780993</v>
      </c>
      <c r="D36">
        <f t="shared" si="6"/>
        <v>8.0811788585677391E-4</v>
      </c>
      <c r="E36" t="str">
        <f t="shared" si="5"/>
        <v>2014Q4</v>
      </c>
      <c r="F36">
        <f t="shared" ca="1" si="8"/>
        <v>1.0725961375783889E-2</v>
      </c>
      <c r="G36">
        <f t="shared" ca="1" si="7"/>
        <v>2.3687396364055931E-2</v>
      </c>
    </row>
    <row r="37" spans="1:7" x14ac:dyDescent="0.25">
      <c r="A37" t="s">
        <v>797</v>
      </c>
      <c r="B37" s="1">
        <f>AVERAGE(Daily_FX!B1067:B1097)</f>
        <v>12436.387096774193</v>
      </c>
      <c r="C37">
        <f t="shared" si="4"/>
        <v>9.4283818978069593</v>
      </c>
      <c r="D37">
        <f t="shared" si="6"/>
        <v>2.2600846728860091E-2</v>
      </c>
      <c r="E37" t="str">
        <f t="shared" si="5"/>
        <v>2014Q4</v>
      </c>
      <c r="F37">
        <f t="shared" ca="1" si="8"/>
        <v>1.2220506311953299E-2</v>
      </c>
      <c r="G37">
        <f t="shared" ca="1" si="7"/>
        <v>2.1151016328550241E-2</v>
      </c>
    </row>
    <row r="38" spans="1:7" x14ac:dyDescent="0.25">
      <c r="A38" t="s">
        <v>829</v>
      </c>
      <c r="B38" s="1">
        <f>AVERAGE(Daily_FX!B1098:B1128)</f>
        <v>12565.41935483871</v>
      </c>
      <c r="C38">
        <f t="shared" si="4"/>
        <v>9.4387038242587042</v>
      </c>
      <c r="D38">
        <f t="shared" si="6"/>
        <v>1.0321926451744901E-2</v>
      </c>
      <c r="E38" t="str">
        <f t="shared" si="5"/>
        <v>2015Q1</v>
      </c>
      <c r="F38">
        <f t="shared" ca="1" si="8"/>
        <v>1.0925562281676748E-2</v>
      </c>
      <c r="G38">
        <f t="shared" ca="1" si="7"/>
        <v>2.125676016025816E-2</v>
      </c>
    </row>
    <row r="39" spans="1:7" x14ac:dyDescent="0.25">
      <c r="A39" t="s">
        <v>861</v>
      </c>
      <c r="B39" s="1">
        <f>AVERAGE(Daily_FX!B1129:B1156)</f>
        <v>12750.035714285714</v>
      </c>
      <c r="C39">
        <f t="shared" si="4"/>
        <v>9.4532893517030967</v>
      </c>
      <c r="D39">
        <f t="shared" si="6"/>
        <v>1.4585527444392454E-2</v>
      </c>
      <c r="E39" t="str">
        <f t="shared" si="5"/>
        <v>2015Q1</v>
      </c>
      <c r="F39">
        <f t="shared" ca="1" si="8"/>
        <v>6.2342537621891091E-3</v>
      </c>
      <c r="G39">
        <f t="shared" ca="1" si="7"/>
        <v>2.044067005548518E-2</v>
      </c>
    </row>
    <row r="40" spans="1:7" x14ac:dyDescent="0.25">
      <c r="A40" t="s">
        <v>890</v>
      </c>
      <c r="B40" s="1">
        <f>AVERAGE(Daily_FX!B1157:B1187)</f>
        <v>13063.193548387097</v>
      </c>
      <c r="C40">
        <f t="shared" si="4"/>
        <v>9.4775539019110635</v>
      </c>
      <c r="D40">
        <f t="shared" si="6"/>
        <v>2.4264550207966806E-2</v>
      </c>
      <c r="E40" t="str">
        <f t="shared" si="5"/>
        <v>2015Q1</v>
      </c>
      <c r="F40">
        <f t="shared" ca="1" si="8"/>
        <v>7.1444446050743871E-3</v>
      </c>
      <c r="G40">
        <f t="shared" ca="1" si="7"/>
        <v>1.364775281743236E-2</v>
      </c>
    </row>
    <row r="41" spans="1:7" x14ac:dyDescent="0.25">
      <c r="A41" t="s">
        <v>922</v>
      </c>
      <c r="B41" s="1">
        <f>AVERAGE(Daily_FX!B1188:B1217)</f>
        <v>12944.366666666667</v>
      </c>
      <c r="C41">
        <f t="shared" si="4"/>
        <v>9.4684159660499301</v>
      </c>
      <c r="D41">
        <f t="shared" si="6"/>
        <v>-9.1379358611334283E-3</v>
      </c>
      <c r="E41" t="str">
        <f t="shared" si="5"/>
        <v>2015Q2</v>
      </c>
      <c r="F41">
        <f t="shared" ca="1" si="8"/>
        <v>1.718629428965059E-2</v>
      </c>
      <c r="G41">
        <f t="shared" ca="1" si="7"/>
        <v>1.4532760288255495E-2</v>
      </c>
    </row>
    <row r="42" spans="1:7" x14ac:dyDescent="0.25">
      <c r="A42" t="s">
        <v>953</v>
      </c>
      <c r="B42" s="1">
        <f>AVERAGE(Daily_FX!B1218:B1248)</f>
        <v>13125.709677419354</v>
      </c>
      <c r="C42">
        <f t="shared" si="4"/>
        <v>9.482328156658582</v>
      </c>
      <c r="D42">
        <f t="shared" si="6"/>
        <v>1.3912190608651898E-2</v>
      </c>
      <c r="E42" t="str">
        <f t="shared" si="5"/>
        <v>2015Q2</v>
      </c>
      <c r="F42">
        <f t="shared" ca="1" si="8"/>
        <v>1.7098760945085372E-2</v>
      </c>
      <c r="G42">
        <f t="shared" ca="1" si="7"/>
        <v>1.4555635757942062E-2</v>
      </c>
    </row>
    <row r="43" spans="1:7" x14ac:dyDescent="0.25">
      <c r="A43" t="s">
        <v>985</v>
      </c>
      <c r="B43" s="1">
        <f>AVERAGE(Daily_FX!B1249:B1278)</f>
        <v>13311.4</v>
      </c>
      <c r="C43">
        <f t="shared" si="4"/>
        <v>9.4963760899298268</v>
      </c>
      <c r="D43">
        <f t="shared" si="6"/>
        <v>1.4047933271244872E-2</v>
      </c>
      <c r="E43" t="str">
        <f t="shared" si="5"/>
        <v>2015Q2</v>
      </c>
      <c r="F43">
        <f t="shared" ca="1" si="8"/>
        <v>1.3347354817636582E-2</v>
      </c>
      <c r="G43">
        <f t="shared" ca="1" si="7"/>
        <v>1.3234297856915711E-2</v>
      </c>
    </row>
    <row r="44" spans="1:7" x14ac:dyDescent="0.25">
      <c r="A44" t="s">
        <v>1016</v>
      </c>
      <c r="B44" s="1">
        <f>AVERAGE(Daily_FX!B1279:B1309)</f>
        <v>13362.290322580646</v>
      </c>
      <c r="C44">
        <f t="shared" si="4"/>
        <v>9.5001918637288512</v>
      </c>
      <c r="D44">
        <f t="shared" si="6"/>
        <v>3.8157737990243135E-3</v>
      </c>
      <c r="E44" t="str">
        <f t="shared" si="5"/>
        <v>2015Q3</v>
      </c>
      <c r="F44">
        <f t="shared" ca="1" si="8"/>
        <v>5.8687469691739574E-3</v>
      </c>
      <c r="G44">
        <f t="shared" ca="1" si="7"/>
        <v>1.0039066341672863E-2</v>
      </c>
    </row>
    <row r="45" spans="1:7" x14ac:dyDescent="0.25">
      <c r="A45" t="s">
        <v>1048</v>
      </c>
      <c r="B45" s="1">
        <f>AVERAGE(Daily_FX!B1310:B1340)</f>
        <v>13766.774193548386</v>
      </c>
      <c r="C45">
        <f t="shared" si="4"/>
        <v>9.5300133009198849</v>
      </c>
      <c r="D45">
        <f t="shared" si="6"/>
        <v>2.9821437191033695E-2</v>
      </c>
      <c r="E45" t="str">
        <f t="shared" si="5"/>
        <v>2015Q3</v>
      </c>
      <c r="F45">
        <f t="shared" ca="1" si="8"/>
        <v>1.3100859016562253E-2</v>
      </c>
      <c r="G45">
        <f t="shared" ca="1" si="7"/>
        <v>1.0930502275266133E-2</v>
      </c>
    </row>
    <row r="46" spans="1:7" x14ac:dyDescent="0.25">
      <c r="A46" t="s">
        <v>1080</v>
      </c>
      <c r="B46" s="1">
        <f>AVERAGE(Daily_FX!B1341:B1370)</f>
        <v>14407.166666666666</v>
      </c>
      <c r="C46">
        <f t="shared" ref="C46:C77" si="9">IFERROR(LN(B46),"")</f>
        <v>9.5754810469450806</v>
      </c>
      <c r="D46">
        <f t="shared" si="6"/>
        <v>4.5467746025195765E-2</v>
      </c>
      <c r="E46" t="str">
        <f t="shared" ref="E46:E77" si="10">LEFT(A46,4)&amp;"Q"&amp;ROUNDUP(VALUE(RIGHT(A46,2))/3,0)</f>
        <v>2015Q3</v>
      </c>
      <c r="F46">
        <f t="shared" ca="1" si="8"/>
        <v>2.1039598772007007E-2</v>
      </c>
      <c r="G46">
        <f t="shared" ca="1" si="7"/>
        <v>1.4310775489959099E-2</v>
      </c>
    </row>
    <row r="47" spans="1:7" x14ac:dyDescent="0.25">
      <c r="A47" t="s">
        <v>1111</v>
      </c>
      <c r="B47" s="1">
        <f>AVERAGE(Daily_FX!B1371:B1401)</f>
        <v>13787.709677419354</v>
      </c>
      <c r="C47">
        <f t="shared" si="9"/>
        <v>9.5315328712371894</v>
      </c>
      <c r="D47">
        <f t="shared" ref="D47:D78" si="11">IFERROR(C47-C46,"")</f>
        <v>-4.3948175707891224E-2</v>
      </c>
      <c r="E47" t="str">
        <f t="shared" si="10"/>
        <v>2015Q4</v>
      </c>
      <c r="F47">
        <f t="shared" ca="1" si="8"/>
        <v>4.7752783211677384E-2</v>
      </c>
      <c r="G47">
        <f t="shared" ca="1" si="7"/>
        <v>2.2282782479262839E-2</v>
      </c>
    </row>
    <row r="48" spans="1:7" x14ac:dyDescent="0.25">
      <c r="A48" t="s">
        <v>1143</v>
      </c>
      <c r="B48" s="1">
        <f>AVERAGE(Daily_FX!B1402:B1431)</f>
        <v>13670.033333333333</v>
      </c>
      <c r="C48">
        <f t="shared" si="9"/>
        <v>9.5229613681446743</v>
      </c>
      <c r="D48">
        <f t="shared" si="11"/>
        <v>-8.571503092515087E-3</v>
      </c>
      <c r="E48" t="str">
        <f t="shared" si="10"/>
        <v>2015Q4</v>
      </c>
      <c r="F48">
        <f t="shared" ca="1" si="8"/>
        <v>4.5031389922140341E-2</v>
      </c>
      <c r="G48">
        <f t="shared" ca="1" si="7"/>
        <v>2.2813632069292582E-2</v>
      </c>
    </row>
    <row r="49" spans="1:7" x14ac:dyDescent="0.25">
      <c r="A49" t="s">
        <v>1174</v>
      </c>
      <c r="B49" s="1">
        <f>AVERAGE(Daily_FX!B1432:B1462)</f>
        <v>13842.741935483871</v>
      </c>
      <c r="C49">
        <f t="shared" si="9"/>
        <v>9.5355163262748466</v>
      </c>
      <c r="D49">
        <f t="shared" si="11"/>
        <v>1.2554958130172267E-2</v>
      </c>
      <c r="E49" t="str">
        <f t="shared" si="10"/>
        <v>2015Q4</v>
      </c>
      <c r="F49">
        <f t="shared" ca="1" si="8"/>
        <v>2.854949054610062E-2</v>
      </c>
      <c r="G49">
        <f t="shared" ca="1" si="7"/>
        <v>2.2481700308357343E-2</v>
      </c>
    </row>
    <row r="50" spans="1:7" x14ac:dyDescent="0.25">
      <c r="A50" t="s">
        <v>1206</v>
      </c>
      <c r="B50" s="1">
        <f>AVERAGE(Daily_FX!B1463:B1493)</f>
        <v>13875.032258064517</v>
      </c>
      <c r="C50">
        <f t="shared" si="9"/>
        <v>9.5378462635174834</v>
      </c>
      <c r="D50">
        <f t="shared" si="11"/>
        <v>2.3299372426368592E-3</v>
      </c>
      <c r="E50" t="str">
        <f t="shared" si="10"/>
        <v>2016Q1</v>
      </c>
      <c r="F50">
        <f t="shared" ca="1" si="8"/>
        <v>1.0565035236769806E-2</v>
      </c>
      <c r="G50">
        <f t="shared" ca="1" si="7"/>
        <v>2.2554906715906087E-2</v>
      </c>
    </row>
    <row r="51" spans="1:7" x14ac:dyDescent="0.25">
      <c r="A51" t="s">
        <v>1238</v>
      </c>
      <c r="B51" s="1">
        <f>AVERAGE(Daily_FX!B1494:B1522)</f>
        <v>13521.137931034482</v>
      </c>
      <c r="C51">
        <f t="shared" si="9"/>
        <v>9.5120095125517867</v>
      </c>
      <c r="D51">
        <f t="shared" si="11"/>
        <v>-2.5836750965696709E-2</v>
      </c>
      <c r="E51" t="str">
        <f t="shared" si="10"/>
        <v>2016Q1</v>
      </c>
      <c r="F51">
        <f t="shared" ca="1" si="8"/>
        <v>1.988230664048583E-2</v>
      </c>
      <c r="G51">
        <f t="shared" ca="1" si="7"/>
        <v>2.4462449716090545E-2</v>
      </c>
    </row>
    <row r="52" spans="1:7" x14ac:dyDescent="0.25">
      <c r="A52" t="s">
        <v>1268</v>
      </c>
      <c r="B52" s="1">
        <f>AVERAGE(Daily_FX!B1523:B1553)</f>
        <v>13178.129032258064</v>
      </c>
      <c r="C52">
        <f t="shared" si="9"/>
        <v>9.4863138429160454</v>
      </c>
      <c r="D52">
        <f t="shared" si="11"/>
        <v>-2.5695669635741325E-2</v>
      </c>
      <c r="E52" t="str">
        <f t="shared" si="10"/>
        <v>2016Q1</v>
      </c>
      <c r="F52">
        <f t="shared" ca="1" si="8"/>
        <v>1.6221471724582298E-2</v>
      </c>
      <c r="G52">
        <f t="shared" ca="1" si="7"/>
        <v>2.5108796615220329E-2</v>
      </c>
    </row>
    <row r="53" spans="1:7" x14ac:dyDescent="0.25">
      <c r="A53" t="s">
        <v>1300</v>
      </c>
      <c r="B53" s="1">
        <f>AVERAGE(Daily_FX!B1554:B1583)</f>
        <v>13179.633333333333</v>
      </c>
      <c r="C53">
        <f t="shared" si="9"/>
        <v>9.4864279877403312</v>
      </c>
      <c r="D53">
        <f t="shared" si="11"/>
        <v>1.1414482428584449E-4</v>
      </c>
      <c r="E53" t="str">
        <f t="shared" si="10"/>
        <v>2016Q2</v>
      </c>
      <c r="F53">
        <f t="shared" ca="1" si="8"/>
        <v>1.4942196506901878E-2</v>
      </c>
      <c r="G53">
        <f t="shared" ca="1" si="7"/>
        <v>2.4919576342709072E-2</v>
      </c>
    </row>
    <row r="54" spans="1:7" x14ac:dyDescent="0.25">
      <c r="A54" t="s">
        <v>1331</v>
      </c>
      <c r="B54" s="1">
        <f>AVERAGE(Daily_FX!B1584:B1614)</f>
        <v>13403.193548387097</v>
      </c>
      <c r="C54">
        <f t="shared" si="9"/>
        <v>9.5032482820507287</v>
      </c>
      <c r="D54">
        <f t="shared" si="11"/>
        <v>1.6820294310397443E-2</v>
      </c>
      <c r="E54" t="str">
        <f t="shared" si="10"/>
        <v>2016Q2</v>
      </c>
      <c r="F54">
        <f t="shared" ca="1" si="8"/>
        <v>2.1419808368979037E-2</v>
      </c>
      <c r="G54">
        <f t="shared" ca="1" si="7"/>
        <v>2.5064963768425746E-2</v>
      </c>
    </row>
    <row r="55" spans="1:7" x14ac:dyDescent="0.25">
      <c r="A55" t="s">
        <v>1363</v>
      </c>
      <c r="B55" s="1">
        <f>AVERAGE(Daily_FX!B1615:B1644)</f>
        <v>13365.366666666667</v>
      </c>
      <c r="C55">
        <f t="shared" si="9"/>
        <v>9.5004220630389398</v>
      </c>
      <c r="D55">
        <f t="shared" si="11"/>
        <v>-2.8262190117889219E-3</v>
      </c>
      <c r="E55" t="str">
        <f t="shared" si="10"/>
        <v>2016Q2</v>
      </c>
      <c r="F55">
        <f t="shared" ca="1" si="8"/>
        <v>1.0596592658803501E-2</v>
      </c>
      <c r="G55">
        <f t="shared" ca="1" si="7"/>
        <v>2.4783657358835896E-2</v>
      </c>
    </row>
    <row r="56" spans="1:7" x14ac:dyDescent="0.25">
      <c r="A56" t="s">
        <v>1394</v>
      </c>
      <c r="B56" s="1">
        <f>AVERAGE(Daily_FX!B1645:B1675)</f>
        <v>13127.741935483871</v>
      </c>
      <c r="C56">
        <f t="shared" si="9"/>
        <v>9.4824829750115001</v>
      </c>
      <c r="D56">
        <f t="shared" si="11"/>
        <v>-1.7939088027439709E-2</v>
      </c>
      <c r="E56" t="str">
        <f t="shared" si="10"/>
        <v>2016Q3</v>
      </c>
      <c r="F56">
        <f t="shared" ca="1" si="8"/>
        <v>1.7428898206288547E-2</v>
      </c>
      <c r="G56">
        <f t="shared" ca="1" si="7"/>
        <v>2.5296438075444135E-2</v>
      </c>
    </row>
    <row r="57" spans="1:7" x14ac:dyDescent="0.25">
      <c r="A57" t="s">
        <v>1426</v>
      </c>
      <c r="B57" s="1">
        <f>AVERAGE(Daily_FX!B1676:B1706)</f>
        <v>13159.354838709678</v>
      </c>
      <c r="C57">
        <f t="shared" si="9"/>
        <v>9.4848881792634145</v>
      </c>
      <c r="D57">
        <f t="shared" si="11"/>
        <v>2.4052042519144834E-3</v>
      </c>
      <c r="E57" t="str">
        <f t="shared" si="10"/>
        <v>2016Q3</v>
      </c>
      <c r="F57">
        <f t="shared" ca="1" si="8"/>
        <v>1.0564538383952431E-2</v>
      </c>
      <c r="G57">
        <f t="shared" ca="1" si="7"/>
        <v>2.3378153117357872E-2</v>
      </c>
    </row>
    <row r="58" spans="1:7" x14ac:dyDescent="0.25">
      <c r="A58" t="s">
        <v>1458</v>
      </c>
      <c r="B58" s="1">
        <f>AVERAGE(Daily_FX!B1707:B1736)</f>
        <v>13124.333333333334</v>
      </c>
      <c r="C58">
        <f t="shared" si="9"/>
        <v>9.4822232925189898</v>
      </c>
      <c r="D58">
        <f t="shared" si="11"/>
        <v>-2.664886744424777E-3</v>
      </c>
      <c r="E58" t="str">
        <f t="shared" si="10"/>
        <v>2016Q3</v>
      </c>
      <c r="F58">
        <f t="shared" ca="1" si="8"/>
        <v>1.0590068270892669E-2</v>
      </c>
      <c r="G58">
        <f t="shared" ca="1" si="7"/>
        <v>1.7572300399690727E-2</v>
      </c>
    </row>
    <row r="59" spans="1:7" x14ac:dyDescent="0.25">
      <c r="A59" t="s">
        <v>1489</v>
      </c>
      <c r="B59" s="1">
        <f>AVERAGE(Daily_FX!B1737:B1767)</f>
        <v>13019.096774193549</v>
      </c>
      <c r="C59">
        <f t="shared" si="9"/>
        <v>9.4741725411744433</v>
      </c>
      <c r="D59">
        <f t="shared" si="11"/>
        <v>-8.0507513445464696E-3</v>
      </c>
      <c r="E59" t="str">
        <f t="shared" si="10"/>
        <v>2016Q4</v>
      </c>
      <c r="F59">
        <f t="shared" ca="1" si="8"/>
        <v>5.2287724441651938E-3</v>
      </c>
      <c r="G59">
        <f t="shared" ca="1" si="7"/>
        <v>1.3418380807708713E-2</v>
      </c>
    </row>
    <row r="60" spans="1:7" x14ac:dyDescent="0.25">
      <c r="A60" t="s">
        <v>1521</v>
      </c>
      <c r="B60" s="1">
        <f>AVERAGE(Daily_FX!B1768:B1797)</f>
        <v>13323.1</v>
      </c>
      <c r="C60">
        <f t="shared" si="9"/>
        <v>9.4972546497490509</v>
      </c>
      <c r="D60">
        <f t="shared" si="11"/>
        <v>2.3082108574607574E-2</v>
      </c>
      <c r="E60" t="str">
        <f t="shared" si="10"/>
        <v>2016Q4</v>
      </c>
      <c r="F60">
        <f t="shared" ca="1" si="8"/>
        <v>1.6639161999105135E-2</v>
      </c>
      <c r="G60">
        <f t="shared" ca="1" si="7"/>
        <v>1.5547609552242464E-2</v>
      </c>
    </row>
    <row r="61" spans="1:7" x14ac:dyDescent="0.25">
      <c r="A61" t="s">
        <v>1552</v>
      </c>
      <c r="B61" s="1">
        <f>AVERAGE(Daily_FX!B1798:B1828)</f>
        <v>13422.322580645161</v>
      </c>
      <c r="C61">
        <f t="shared" si="9"/>
        <v>9.504674464153501</v>
      </c>
      <c r="D61">
        <f t="shared" si="11"/>
        <v>7.4198144044501646E-3</v>
      </c>
      <c r="E61" t="str">
        <f t="shared" si="10"/>
        <v>2016Q4</v>
      </c>
      <c r="F61">
        <f t="shared" ca="1" si="8"/>
        <v>1.5566528354197685E-2</v>
      </c>
      <c r="G61">
        <f t="shared" ca="1" si="7"/>
        <v>1.5172456220685748E-2</v>
      </c>
    </row>
    <row r="62" spans="1:7" x14ac:dyDescent="0.25">
      <c r="A62" t="s">
        <v>1584</v>
      </c>
      <c r="B62" s="1">
        <f>AVERAGE(Daily_FX!B1829:B1859)</f>
        <v>13361.193548387097</v>
      </c>
      <c r="C62">
        <f t="shared" si="9"/>
        <v>9.5001097805544088</v>
      </c>
      <c r="D62">
        <f t="shared" si="11"/>
        <v>-4.5646835990922341E-3</v>
      </c>
      <c r="E62" t="str">
        <f t="shared" si="10"/>
        <v>2017Q1</v>
      </c>
      <c r="F62">
        <f t="shared" ca="1" si="8"/>
        <v>1.3864106946627847E-2</v>
      </c>
      <c r="G62">
        <f t="shared" ca="1" si="7"/>
        <v>1.5100402243240279E-2</v>
      </c>
    </row>
    <row r="63" spans="1:7" x14ac:dyDescent="0.25">
      <c r="A63" t="s">
        <v>1617</v>
      </c>
      <c r="B63" s="1">
        <f>AVERAGE(Daily_FX!B1860:B1887)</f>
        <v>13339.071428571429</v>
      </c>
      <c r="C63">
        <f t="shared" si="9"/>
        <v>9.4984527089937458</v>
      </c>
      <c r="D63">
        <f t="shared" si="11"/>
        <v>-1.6570715606629705E-3</v>
      </c>
      <c r="E63" t="str">
        <f t="shared" si="10"/>
        <v>2017Q1</v>
      </c>
      <c r="F63">
        <f t="shared" ca="1" si="8"/>
        <v>6.2512966519834689E-3</v>
      </c>
      <c r="G63">
        <f t="shared" ca="1" si="7"/>
        <v>1.3303473280770329E-2</v>
      </c>
    </row>
    <row r="64" spans="1:7" x14ac:dyDescent="0.25">
      <c r="A64" t="s">
        <v>1646</v>
      </c>
      <c r="B64" s="1">
        <f>AVERAGE(Daily_FX!B1888:B1918)</f>
        <v>13348.161290322581</v>
      </c>
      <c r="C64">
        <f t="shared" si="9"/>
        <v>9.4991339232806222</v>
      </c>
      <c r="D64">
        <f t="shared" si="11"/>
        <v>6.8121428687639707E-4</v>
      </c>
      <c r="E64" t="str">
        <f t="shared" si="10"/>
        <v>2017Q1</v>
      </c>
      <c r="F64">
        <f t="shared" ca="1" si="8"/>
        <v>2.6280928795367896E-3</v>
      </c>
      <c r="G64">
        <f t="shared" ca="1" si="7"/>
        <v>1.0823469454577029E-2</v>
      </c>
    </row>
    <row r="65" spans="1:7" x14ac:dyDescent="0.25">
      <c r="A65" t="s">
        <v>1678</v>
      </c>
      <c r="B65" s="1">
        <f>AVERAGE(Daily_FX!B1919:B1948)</f>
        <v>13308.166666666666</v>
      </c>
      <c r="C65">
        <f t="shared" si="9"/>
        <v>9.4961331608551554</v>
      </c>
      <c r="D65">
        <f t="shared" si="11"/>
        <v>-3.0007624254668741E-3</v>
      </c>
      <c r="E65" t="str">
        <f t="shared" si="10"/>
        <v>2017Q2</v>
      </c>
      <c r="F65">
        <f t="shared" ca="1" si="8"/>
        <v>1.863242619521074E-3</v>
      </c>
      <c r="G65">
        <f t="shared" ca="1" si="7"/>
        <v>1.0885607486073371E-2</v>
      </c>
    </row>
    <row r="66" spans="1:7" x14ac:dyDescent="0.25">
      <c r="A66" t="s">
        <v>1710</v>
      </c>
      <c r="B66" s="1">
        <f>AVERAGE(Daily_FX!B1949:B1979)</f>
        <v>13330.096774193549</v>
      </c>
      <c r="C66">
        <f t="shared" si="9"/>
        <v>9.497779673025887</v>
      </c>
      <c r="D66">
        <f t="shared" si="11"/>
        <v>1.6465121707316399E-3</v>
      </c>
      <c r="E66" t="str">
        <f t="shared" si="10"/>
        <v>2017Q2</v>
      </c>
      <c r="F66">
        <f t="shared" ca="1" si="8"/>
        <v>2.4524108440228645E-3</v>
      </c>
      <c r="G66">
        <f t="shared" ca="1" si="7"/>
        <v>9.6700414296670336E-3</v>
      </c>
    </row>
    <row r="67" spans="1:7" x14ac:dyDescent="0.25">
      <c r="A67" t="s">
        <v>1742</v>
      </c>
      <c r="B67" s="1">
        <f>AVERAGE(Daily_FX!B1980:B2009)</f>
        <v>13304.266666666666</v>
      </c>
      <c r="C67">
        <f t="shared" si="9"/>
        <v>9.4958400647688972</v>
      </c>
      <c r="D67">
        <f t="shared" si="11"/>
        <v>-1.9396082569897999E-3</v>
      </c>
      <c r="E67" t="str">
        <f t="shared" si="10"/>
        <v>2017Q2</v>
      </c>
      <c r="F67">
        <f t="shared" ca="1" si="8"/>
        <v>2.4352778439659726E-3</v>
      </c>
      <c r="G67">
        <f t="shared" ca="1" si="7"/>
        <v>9.6536562147146662E-3</v>
      </c>
    </row>
    <row r="68" spans="1:7" x14ac:dyDescent="0.25">
      <c r="A68" t="s">
        <v>1773</v>
      </c>
      <c r="B68" s="1">
        <f>AVERAGE(Daily_FX!B2010:B2040)</f>
        <v>13342.193548387097</v>
      </c>
      <c r="C68">
        <f t="shared" si="9"/>
        <v>9.498686739863917</v>
      </c>
      <c r="D68">
        <f t="shared" si="11"/>
        <v>2.8466750950197905E-3</v>
      </c>
      <c r="E68" t="str">
        <f t="shared" si="10"/>
        <v>2017Q3</v>
      </c>
      <c r="F68">
        <f t="shared" ca="1" si="8"/>
        <v>2.4902864324103046E-3</v>
      </c>
      <c r="G68">
        <f t="shared" ca="1" si="7"/>
        <v>7.9274318551630137E-3</v>
      </c>
    </row>
    <row r="69" spans="1:7" x14ac:dyDescent="0.25">
      <c r="A69" t="s">
        <v>1806</v>
      </c>
      <c r="B69" s="1">
        <f>AVERAGE(Daily_FX!B2041:B2071)</f>
        <v>13345.612903225807</v>
      </c>
      <c r="C69">
        <f t="shared" si="9"/>
        <v>9.4989429883393104</v>
      </c>
      <c r="D69">
        <f t="shared" si="11"/>
        <v>2.5624847539340578E-4</v>
      </c>
      <c r="E69" t="str">
        <f t="shared" si="10"/>
        <v>2017Q3</v>
      </c>
      <c r="F69">
        <f t="shared" ca="1" si="8"/>
        <v>2.3958507600483586E-3</v>
      </c>
      <c r="G69">
        <f t="shared" ca="1" si="7"/>
        <v>7.9257077949364367E-3</v>
      </c>
    </row>
    <row r="70" spans="1:7" x14ac:dyDescent="0.25">
      <c r="A70" t="s">
        <v>1838</v>
      </c>
      <c r="B70" s="1">
        <f>AVERAGE(Daily_FX!B2072:B2101)</f>
        <v>13310.7</v>
      </c>
      <c r="C70">
        <f t="shared" si="9"/>
        <v>9.4963235020423085</v>
      </c>
      <c r="D70">
        <f t="shared" si="11"/>
        <v>-2.6194862970019273E-3</v>
      </c>
      <c r="E70" t="str">
        <f t="shared" si="10"/>
        <v>2017Q3</v>
      </c>
      <c r="F70">
        <f t="shared" ca="1" si="8"/>
        <v>2.7343213940714622E-3</v>
      </c>
      <c r="G70">
        <f t="shared" ca="1" si="7"/>
        <v>7.9237207214523948E-3</v>
      </c>
    </row>
    <row r="71" spans="1:7" x14ac:dyDescent="0.25">
      <c r="A71" t="s">
        <v>1869</v>
      </c>
      <c r="B71" s="1">
        <f>AVERAGE(Daily_FX!B2102:B2132)</f>
        <v>13527.225806451614</v>
      </c>
      <c r="C71">
        <f t="shared" si="9"/>
        <v>9.5124596599676554</v>
      </c>
      <c r="D71">
        <f t="shared" si="11"/>
        <v>1.613615792534695E-2</v>
      </c>
      <c r="E71" t="str">
        <f t="shared" si="10"/>
        <v>2017Q4</v>
      </c>
      <c r="F71">
        <f t="shared" ca="1" si="8"/>
        <v>1.0101283456531785E-2</v>
      </c>
      <c r="G71">
        <f t="shared" ca="1" si="7"/>
        <v>8.4240414422435128E-3</v>
      </c>
    </row>
    <row r="72" spans="1:7" x14ac:dyDescent="0.25">
      <c r="A72" t="s">
        <v>1902</v>
      </c>
      <c r="B72" s="1">
        <f>AVERAGE(Daily_FX!B2133:B2162)</f>
        <v>13522.533333333333</v>
      </c>
      <c r="C72">
        <f t="shared" si="9"/>
        <v>9.5121127087699673</v>
      </c>
      <c r="D72">
        <f t="shared" si="11"/>
        <v>-3.4695119768812788E-4</v>
      </c>
      <c r="E72" t="str">
        <f t="shared" si="10"/>
        <v>2017Q4</v>
      </c>
      <c r="F72">
        <f t="shared" ca="1" si="8"/>
        <v>1.0235815326056708E-2</v>
      </c>
      <c r="G72">
        <f t="shared" ca="1" si="7"/>
        <v>5.6545046479077269E-3</v>
      </c>
    </row>
    <row r="73" spans="1:7" x14ac:dyDescent="0.25">
      <c r="A73" t="s">
        <v>1933</v>
      </c>
      <c r="B73" s="1">
        <f>AVERAGE(Daily_FX!B2163:B2193)</f>
        <v>13553.161290322581</v>
      </c>
      <c r="C73">
        <f t="shared" si="9"/>
        <v>9.5143751046551994</v>
      </c>
      <c r="D73">
        <f t="shared" si="11"/>
        <v>2.262395885232138E-3</v>
      </c>
      <c r="E73" t="str">
        <f t="shared" si="10"/>
        <v>2017Q4</v>
      </c>
      <c r="F73">
        <f t="shared" ca="1" si="8"/>
        <v>8.8598612828376857E-3</v>
      </c>
      <c r="G73">
        <f t="shared" ca="1" si="7"/>
        <v>5.3285457502208243E-3</v>
      </c>
    </row>
    <row r="74" spans="1:7" x14ac:dyDescent="0.25">
      <c r="A74" t="s">
        <v>1965</v>
      </c>
      <c r="B74" s="1">
        <f>AVERAGE(Daily_FX!B2194:B2224)</f>
        <v>13378</v>
      </c>
      <c r="C74">
        <f t="shared" si="9"/>
        <v>9.5013668456783531</v>
      </c>
      <c r="D74">
        <f t="shared" si="11"/>
        <v>-1.3008258976846321E-2</v>
      </c>
      <c r="E74" t="str">
        <f t="shared" si="10"/>
        <v>2018Q1</v>
      </c>
      <c r="F74">
        <f t="shared" ca="1" si="8"/>
        <v>8.1681322507498287E-3</v>
      </c>
      <c r="G74">
        <f t="shared" ca="1" si="7"/>
        <v>6.5255863382289812E-3</v>
      </c>
    </row>
    <row r="75" spans="1:7" x14ac:dyDescent="0.25">
      <c r="A75" t="s">
        <v>1998</v>
      </c>
      <c r="B75" s="1">
        <f>AVERAGE(Daily_FX!B2225:B2252)</f>
        <v>13585.821428571429</v>
      </c>
      <c r="C75">
        <f t="shared" si="9"/>
        <v>9.5167819858824014</v>
      </c>
      <c r="D75">
        <f t="shared" si="11"/>
        <v>1.5415140204048328E-2</v>
      </c>
      <c r="E75" t="str">
        <f t="shared" si="10"/>
        <v>2018Q1</v>
      </c>
      <c r="F75">
        <f t="shared" ca="1" si="8"/>
        <v>1.4224844486726704E-2</v>
      </c>
      <c r="G75">
        <f t="shared" ca="1" si="7"/>
        <v>7.835998094129425E-3</v>
      </c>
    </row>
    <row r="76" spans="1:7" x14ac:dyDescent="0.25">
      <c r="A76" t="s">
        <v>2027</v>
      </c>
      <c r="B76" s="1">
        <f>AVERAGE(Daily_FX!B2253:B2283)</f>
        <v>13761.483870967742</v>
      </c>
      <c r="C76">
        <f t="shared" si="9"/>
        <v>9.5296289451329432</v>
      </c>
      <c r="D76">
        <f t="shared" si="11"/>
        <v>1.2846959250541801E-2</v>
      </c>
      <c r="E76" t="str">
        <f t="shared" si="10"/>
        <v>2018Q1</v>
      </c>
      <c r="F76">
        <f t="shared" ca="1" si="8"/>
        <v>1.5721415775899972E-2</v>
      </c>
      <c r="G76">
        <f t="shared" ca="1" si="7"/>
        <v>8.4773128924827273E-3</v>
      </c>
    </row>
    <row r="77" spans="1:7" x14ac:dyDescent="0.25">
      <c r="A77" t="s">
        <v>2059</v>
      </c>
      <c r="B77" s="1">
        <f>AVERAGE(Daily_FX!B2284:B2313)</f>
        <v>13801.066666666668</v>
      </c>
      <c r="C77">
        <f t="shared" si="9"/>
        <v>9.5325011628442056</v>
      </c>
      <c r="D77">
        <f t="shared" si="11"/>
        <v>2.872217711262337E-3</v>
      </c>
      <c r="E77" t="str">
        <f t="shared" si="10"/>
        <v>2018Q2</v>
      </c>
      <c r="F77">
        <f t="shared" ca="1" si="8"/>
        <v>6.6259078226486292E-3</v>
      </c>
      <c r="G77">
        <f t="shared" ca="1" si="7"/>
        <v>8.2958613149143618E-3</v>
      </c>
    </row>
    <row r="78" spans="1:7" x14ac:dyDescent="0.25">
      <c r="A78" t="s">
        <v>2091</v>
      </c>
      <c r="B78" s="1">
        <f>AVERAGE(Daily_FX!B2314:B2344)</f>
        <v>14056.064516129032</v>
      </c>
      <c r="C78">
        <f t="shared" ref="C78:C109" si="12">IFERROR(LN(B78),"")</f>
        <v>9.5508092197915904</v>
      </c>
      <c r="D78">
        <f t="shared" si="11"/>
        <v>1.8308056947384799E-2</v>
      </c>
      <c r="E78" t="str">
        <f t="shared" ref="E78:E109" si="13">LEFT(A78,4)&amp;"Q"&amp;ROUNDUP(VALUE(RIGHT(A78,2))/3,0)</f>
        <v>2018Q2</v>
      </c>
      <c r="F78">
        <f t="shared" ca="1" si="8"/>
        <v>7.8271343175872164E-3</v>
      </c>
      <c r="G78">
        <f t="shared" ca="1" si="7"/>
        <v>9.3681438263089039E-3</v>
      </c>
    </row>
    <row r="79" spans="1:7" x14ac:dyDescent="0.25">
      <c r="A79" t="s">
        <v>2123</v>
      </c>
      <c r="B79" s="1">
        <f>AVERAGE(Daily_FX!B2345:B2374)</f>
        <v>13999.566666666668</v>
      </c>
      <c r="C79">
        <f t="shared" si="12"/>
        <v>9.5467816557374086</v>
      </c>
      <c r="D79">
        <f t="shared" ref="D79:D110" si="14">IFERROR(C79-C78,"")</f>
        <v>-4.0275640541818092E-3</v>
      </c>
      <c r="E79" t="str">
        <f t="shared" si="13"/>
        <v>2018Q2</v>
      </c>
      <c r="F79">
        <f t="shared" ca="1" si="8"/>
        <v>1.1436433643257532E-2</v>
      </c>
      <c r="G79">
        <f t="shared" ref="G79:G142" ca="1" si="15">IF(ROW()&gt;13,_xlfn.STDEV.S(OFFSET(D79,-11,0,12,1)),NA())</f>
        <v>9.5152179225774357E-3</v>
      </c>
    </row>
    <row r="80" spans="1:7" x14ac:dyDescent="0.25">
      <c r="A80" t="s">
        <v>2154</v>
      </c>
      <c r="B80" s="1">
        <f>AVERAGE(Daily_FX!B2375:B2405)</f>
        <v>14421.387096774193</v>
      </c>
      <c r="C80">
        <f t="shared" si="12"/>
        <v>9.5764675987768229</v>
      </c>
      <c r="D80">
        <f t="shared" si="14"/>
        <v>2.9685943039414298E-2</v>
      </c>
      <c r="E80" t="str">
        <f t="shared" si="13"/>
        <v>2018Q3</v>
      </c>
      <c r="F80">
        <f t="shared" ca="1" si="8"/>
        <v>1.7150980623076028E-2</v>
      </c>
      <c r="G80">
        <f t="shared" ca="1" si="15"/>
        <v>1.1989326268366416E-2</v>
      </c>
    </row>
    <row r="81" spans="1:7" x14ac:dyDescent="0.25">
      <c r="A81" t="s">
        <v>2187</v>
      </c>
      <c r="B81" s="1">
        <f>AVERAGE(Daily_FX!B2406:B2436)</f>
        <v>14560.387096774193</v>
      </c>
      <c r="C81">
        <f t="shared" si="12"/>
        <v>9.5860599077141764</v>
      </c>
      <c r="D81">
        <f t="shared" si="14"/>
        <v>9.592308937353522E-3</v>
      </c>
      <c r="E81" t="str">
        <f t="shared" si="13"/>
        <v>2018Q3</v>
      </c>
      <c r="F81">
        <f t="shared" ca="1" si="8"/>
        <v>1.6960029639729448E-2</v>
      </c>
      <c r="G81">
        <f t="shared" ca="1" si="15"/>
        <v>1.1850733821492189E-2</v>
      </c>
    </row>
    <row r="82" spans="1:7" x14ac:dyDescent="0.25">
      <c r="A82" t="s">
        <v>2219</v>
      </c>
      <c r="B82" s="1">
        <f>AVERAGE(Daily_FX!B2437:B2466)</f>
        <v>14856.9</v>
      </c>
      <c r="C82">
        <f t="shared" si="12"/>
        <v>9.6062196827807504</v>
      </c>
      <c r="D82">
        <f t="shared" si="14"/>
        <v>2.015977506657407E-2</v>
      </c>
      <c r="E82" t="str">
        <f t="shared" si="13"/>
        <v>2018Q3</v>
      </c>
      <c r="F82">
        <f t="shared" ref="F82:F145" ca="1" si="16">IF(ROW()&gt;4,_xlfn.STDEV.S(OFFSET(D82,-2,0,3,1)),NA())</f>
        <v>1.005131291645101E-2</v>
      </c>
      <c r="G82">
        <f t="shared" ca="1" si="15"/>
        <v>1.1948408898133717E-2</v>
      </c>
    </row>
    <row r="83" spans="1:7" x14ac:dyDescent="0.25">
      <c r="A83" t="s">
        <v>2250</v>
      </c>
      <c r="B83" s="1">
        <f>AVERAGE(Daily_FX!B2467:B2497)</f>
        <v>15184.58064516129</v>
      </c>
      <c r="C83">
        <f t="shared" si="12"/>
        <v>9.62803576071137</v>
      </c>
      <c r="D83">
        <f t="shared" si="14"/>
        <v>2.1816077930619571E-2</v>
      </c>
      <c r="E83" t="str">
        <f t="shared" si="13"/>
        <v>2018Q4</v>
      </c>
      <c r="F83">
        <f t="shared" ca="1" si="16"/>
        <v>6.6311789797692576E-3</v>
      </c>
      <c r="G83">
        <f t="shared" ca="1" si="15"/>
        <v>1.2355539233776866E-2</v>
      </c>
    </row>
    <row r="84" spans="1:7" x14ac:dyDescent="0.25">
      <c r="A84" t="s">
        <v>2283</v>
      </c>
      <c r="B84" s="1">
        <f>AVERAGE(Daily_FX!B2498:B2527)</f>
        <v>14698.466666666667</v>
      </c>
      <c r="C84">
        <f t="shared" si="12"/>
        <v>9.5954984589363068</v>
      </c>
      <c r="D84">
        <f t="shared" si="14"/>
        <v>-3.2537301775063199E-2</v>
      </c>
      <c r="E84" t="str">
        <f t="shared" si="13"/>
        <v>2018Q4</v>
      </c>
      <c r="F84">
        <f t="shared" ca="1" si="16"/>
        <v>3.0913899603740806E-2</v>
      </c>
      <c r="G84">
        <f t="shared" ca="1" si="15"/>
        <v>1.7245630426001513E-2</v>
      </c>
    </row>
    <row r="85" spans="1:7" x14ac:dyDescent="0.25">
      <c r="A85" t="s">
        <v>2314</v>
      </c>
      <c r="B85" s="1">
        <f>AVERAGE(Daily_FX!B2528:B2558)</f>
        <v>14492.838709677419</v>
      </c>
      <c r="C85">
        <f t="shared" si="12"/>
        <v>9.5814099243175228</v>
      </c>
      <c r="D85">
        <f t="shared" si="14"/>
        <v>-1.408853461878401E-2</v>
      </c>
      <c r="E85" t="str">
        <f t="shared" si="13"/>
        <v>2018Q4</v>
      </c>
      <c r="F85">
        <f t="shared" ca="1" si="16"/>
        <v>2.7639911050687561E-2</v>
      </c>
      <c r="G85">
        <f t="shared" ca="1" si="15"/>
        <v>1.8265360956439481E-2</v>
      </c>
    </row>
    <row r="86" spans="1:7" x14ac:dyDescent="0.25">
      <c r="A86" t="s">
        <v>2346</v>
      </c>
      <c r="B86" s="1">
        <f>AVERAGE(Daily_FX!B2559:B2589)</f>
        <v>14181.032258064517</v>
      </c>
      <c r="C86">
        <f t="shared" si="12"/>
        <v>9.5596605941971067</v>
      </c>
      <c r="D86">
        <f t="shared" si="14"/>
        <v>-2.1749330120416133E-2</v>
      </c>
      <c r="E86" t="str">
        <f t="shared" si="13"/>
        <v>2019Q1</v>
      </c>
      <c r="F86">
        <f t="shared" ca="1" si="16"/>
        <v>9.2684512345726014E-3</v>
      </c>
      <c r="G86">
        <f t="shared" ca="1" si="15"/>
        <v>1.9223489985708008E-2</v>
      </c>
    </row>
    <row r="87" spans="1:7" x14ac:dyDescent="0.25">
      <c r="A87" t="s">
        <v>2379</v>
      </c>
      <c r="B87" s="1">
        <f>AVERAGE(Daily_FX!B2590:B2617)</f>
        <v>14034.821428571429</v>
      </c>
      <c r="C87">
        <f t="shared" si="12"/>
        <v>9.549296765421234</v>
      </c>
      <c r="D87">
        <f t="shared" si="14"/>
        <v>-1.0363828775872719E-2</v>
      </c>
      <c r="E87" t="str">
        <f t="shared" si="13"/>
        <v>2019Q1</v>
      </c>
      <c r="F87">
        <f t="shared" ca="1" si="16"/>
        <v>5.8050389347049794E-3</v>
      </c>
      <c r="G87">
        <f t="shared" ca="1" si="15"/>
        <v>1.9376250281256887E-2</v>
      </c>
    </row>
    <row r="88" spans="1:7" x14ac:dyDescent="0.25">
      <c r="A88" t="s">
        <v>2408</v>
      </c>
      <c r="B88" s="1">
        <f>AVERAGE(Daily_FX!B2618:B2648)</f>
        <v>14207.709677419354</v>
      </c>
      <c r="C88">
        <f t="shared" si="12"/>
        <v>9.5615400312829877</v>
      </c>
      <c r="D88">
        <f t="shared" si="14"/>
        <v>1.2243265861753727E-2</v>
      </c>
      <c r="E88" t="str">
        <f t="shared" si="13"/>
        <v>2019Q1</v>
      </c>
      <c r="F88">
        <f t="shared" ca="1" si="16"/>
        <v>1.7302249133317075E-2</v>
      </c>
      <c r="G88">
        <f t="shared" ca="1" si="15"/>
        <v>1.9348300709950614E-2</v>
      </c>
    </row>
    <row r="89" spans="1:7" x14ac:dyDescent="0.25">
      <c r="A89" t="s">
        <v>2440</v>
      </c>
      <c r="B89" s="1">
        <f>AVERAGE(Daily_FX!B2649:B2678)</f>
        <v>14135.266666666666</v>
      </c>
      <c r="C89">
        <f t="shared" si="12"/>
        <v>9.5564281356495346</v>
      </c>
      <c r="D89">
        <f t="shared" si="14"/>
        <v>-5.1118956334530452E-3</v>
      </c>
      <c r="E89" t="str">
        <f t="shared" si="13"/>
        <v>2019Q2</v>
      </c>
      <c r="F89">
        <f t="shared" ca="1" si="16"/>
        <v>1.1831209857912195E-2</v>
      </c>
      <c r="G89">
        <f t="shared" ca="1" si="15"/>
        <v>1.9477160133859136E-2</v>
      </c>
    </row>
    <row r="90" spans="1:7" x14ac:dyDescent="0.25">
      <c r="A90" t="s">
        <v>2472</v>
      </c>
      <c r="B90" s="1">
        <f>AVERAGE(Daily_FX!B2679:B2709)</f>
        <v>14387.451612903225</v>
      </c>
      <c r="C90">
        <f t="shared" si="12"/>
        <v>9.5741116898900422</v>
      </c>
      <c r="D90">
        <f t="shared" si="14"/>
        <v>1.7683554240507604E-2</v>
      </c>
      <c r="E90" t="str">
        <f t="shared" si="13"/>
        <v>2019Q2</v>
      </c>
      <c r="F90">
        <f t="shared" ca="1" si="16"/>
        <v>1.1905397257301444E-2</v>
      </c>
      <c r="G90">
        <f t="shared" ca="1" si="15"/>
        <v>1.943038503021478E-2</v>
      </c>
    </row>
    <row r="91" spans="1:7" x14ac:dyDescent="0.25">
      <c r="A91" t="s">
        <v>2504</v>
      </c>
      <c r="B91" s="1">
        <f>AVERAGE(Daily_FX!B2710:B2739)</f>
        <v>14266.166666666666</v>
      </c>
      <c r="C91">
        <f t="shared" si="12"/>
        <v>9.5656460455586547</v>
      </c>
      <c r="D91">
        <f t="shared" si="14"/>
        <v>-8.4656443313875229E-3</v>
      </c>
      <c r="E91" t="str">
        <f t="shared" si="13"/>
        <v>2019Q2</v>
      </c>
      <c r="F91">
        <f t="shared" ca="1" si="16"/>
        <v>1.4228262667648218E-2</v>
      </c>
      <c r="G91">
        <f t="shared" ca="1" si="15"/>
        <v>1.9595870021345479E-2</v>
      </c>
    </row>
    <row r="92" spans="1:7" x14ac:dyDescent="0.25">
      <c r="A92" t="s">
        <v>2535</v>
      </c>
      <c r="B92" s="1">
        <f>AVERAGE(Daily_FX!B2740:B2770)</f>
        <v>14042.064516129032</v>
      </c>
      <c r="C92">
        <f t="shared" si="12"/>
        <v>9.5498127120780367</v>
      </c>
      <c r="D92">
        <f t="shared" si="14"/>
        <v>-1.5833333480617995E-2</v>
      </c>
      <c r="E92" t="str">
        <f t="shared" si="13"/>
        <v>2019Q3</v>
      </c>
      <c r="F92">
        <f t="shared" ca="1" si="16"/>
        <v>1.7613655648684584E-2</v>
      </c>
      <c r="G92">
        <f t="shared" ca="1" si="15"/>
        <v>1.7999664375652511E-2</v>
      </c>
    </row>
    <row r="93" spans="1:7" x14ac:dyDescent="0.25">
      <c r="A93" t="s">
        <v>2568</v>
      </c>
      <c r="B93" s="1">
        <f>AVERAGE(Daily_FX!B2771:B2801)</f>
        <v>14237.806451612903</v>
      </c>
      <c r="C93">
        <f t="shared" si="12"/>
        <v>9.563656131781066</v>
      </c>
      <c r="D93">
        <f t="shared" si="14"/>
        <v>1.3843419703029269E-2</v>
      </c>
      <c r="E93" t="str">
        <f t="shared" si="13"/>
        <v>2019Q3</v>
      </c>
      <c r="F93">
        <f t="shared" ca="1" si="16"/>
        <v>1.545254488757173E-2</v>
      </c>
      <c r="G93">
        <f t="shared" ca="1" si="15"/>
        <v>1.8292756779153849E-2</v>
      </c>
    </row>
    <row r="94" spans="1:7" x14ac:dyDescent="0.25">
      <c r="A94" t="s">
        <v>2600</v>
      </c>
      <c r="B94" s="1">
        <f>AVERAGE(Daily_FX!B2802:B2831)</f>
        <v>14110.466666666667</v>
      </c>
      <c r="C94">
        <f t="shared" si="12"/>
        <v>9.5546721177702967</v>
      </c>
      <c r="D94">
        <f t="shared" si="14"/>
        <v>-8.9840140107693145E-3</v>
      </c>
      <c r="E94" t="str">
        <f t="shared" si="13"/>
        <v>2019Q3</v>
      </c>
      <c r="F94">
        <f t="shared" ca="1" si="16"/>
        <v>1.5538739688710463E-2</v>
      </c>
      <c r="G94">
        <f t="shared" ca="1" si="15"/>
        <v>1.6990822593748053E-2</v>
      </c>
    </row>
    <row r="95" spans="1:7" x14ac:dyDescent="0.25">
      <c r="A95" t="s">
        <v>2631</v>
      </c>
      <c r="B95" s="1">
        <f>AVERAGE(Daily_FX!B2832:B2862)</f>
        <v>14118.064516129032</v>
      </c>
      <c r="C95">
        <f t="shared" si="12"/>
        <v>9.5552104277232051</v>
      </c>
      <c r="D95">
        <f t="shared" si="14"/>
        <v>5.3830995290837791E-4</v>
      </c>
      <c r="E95" t="str">
        <f t="shared" si="13"/>
        <v>2019Q4</v>
      </c>
      <c r="F95">
        <f t="shared" ca="1" si="16"/>
        <v>1.1465835694865135E-2</v>
      </c>
      <c r="G95">
        <f t="shared" ca="1" si="15"/>
        <v>1.5013283892699725E-2</v>
      </c>
    </row>
    <row r="96" spans="1:7" x14ac:dyDescent="0.25">
      <c r="A96" t="s">
        <v>2664</v>
      </c>
      <c r="B96" s="1">
        <f>AVERAGE(Daily_FX!B2863:B2892)</f>
        <v>14068.5</v>
      </c>
      <c r="C96">
        <f t="shared" si="12"/>
        <v>9.5516935346171028</v>
      </c>
      <c r="D96">
        <f t="shared" si="14"/>
        <v>-3.516893106102259E-3</v>
      </c>
      <c r="E96" t="str">
        <f t="shared" si="13"/>
        <v>2019Q4</v>
      </c>
      <c r="F96">
        <f t="shared" ca="1" si="16"/>
        <v>4.7785760868220848E-3</v>
      </c>
      <c r="G96">
        <f t="shared" ca="1" si="15"/>
        <v>1.2486840224962463E-2</v>
      </c>
    </row>
    <row r="97" spans="1:7" x14ac:dyDescent="0.25">
      <c r="A97" t="s">
        <v>2695</v>
      </c>
      <c r="B97" s="1">
        <f>AVERAGE(Daily_FX!B2893:B2923)</f>
        <v>14011.064516129032</v>
      </c>
      <c r="C97">
        <f t="shared" si="12"/>
        <v>9.5476026190376011</v>
      </c>
      <c r="D97">
        <f t="shared" si="14"/>
        <v>-4.0909155795016972E-3</v>
      </c>
      <c r="E97" t="str">
        <f t="shared" si="13"/>
        <v>2019Q4</v>
      </c>
      <c r="F97">
        <f t="shared" ca="1" si="16"/>
        <v>2.5233543376391599E-3</v>
      </c>
      <c r="G97">
        <f t="shared" ca="1" si="15"/>
        <v>1.2053076589924808E-2</v>
      </c>
    </row>
    <row r="98" spans="1:7" x14ac:dyDescent="0.25">
      <c r="A98" t="s">
        <v>2727</v>
      </c>
      <c r="B98" s="1">
        <f>AVERAGE(Daily_FX!B2924:B2954)</f>
        <v>13741.677419354839</v>
      </c>
      <c r="C98">
        <f t="shared" si="12"/>
        <v>9.5281886412473042</v>
      </c>
      <c r="D98">
        <f t="shared" si="14"/>
        <v>-1.9413977790296855E-2</v>
      </c>
      <c r="E98" t="str">
        <f t="shared" si="13"/>
        <v>2020Q1</v>
      </c>
      <c r="F98">
        <f t="shared" ca="1" si="16"/>
        <v>9.0170490255249321E-3</v>
      </c>
      <c r="G98">
        <f t="shared" ca="1" si="15"/>
        <v>1.1734241089384381E-2</v>
      </c>
    </row>
    <row r="99" spans="1:7" x14ac:dyDescent="0.25">
      <c r="A99" t="s">
        <v>2760</v>
      </c>
      <c r="B99" s="1">
        <f>AVERAGE(Daily_FX!B2955:B2983)</f>
        <v>13770.448275862069</v>
      </c>
      <c r="C99">
        <f t="shared" si="12"/>
        <v>9.5302801457216493</v>
      </c>
      <c r="D99">
        <f t="shared" si="14"/>
        <v>2.0915044743450295E-3</v>
      </c>
      <c r="E99" t="str">
        <f t="shared" si="13"/>
        <v>2020Q1</v>
      </c>
      <c r="F99">
        <f t="shared" ca="1" si="16"/>
        <v>1.1071768307072207E-2</v>
      </c>
      <c r="G99">
        <f t="shared" ca="1" si="15"/>
        <v>1.1536449471889381E-2</v>
      </c>
    </row>
    <row r="100" spans="1:7" x14ac:dyDescent="0.25">
      <c r="A100" t="s">
        <v>2790</v>
      </c>
      <c r="B100" s="1">
        <f>AVERAGE(Daily_FX!B2984:B3014)</f>
        <v>15257.290322580646</v>
      </c>
      <c r="C100">
        <f t="shared" si="12"/>
        <v>9.6328127217438926</v>
      </c>
      <c r="D100">
        <f t="shared" si="14"/>
        <v>0.1025325760222433</v>
      </c>
      <c r="E100" t="str">
        <f t="shared" si="13"/>
        <v>2020Q1</v>
      </c>
      <c r="F100">
        <f t="shared" ca="1" si="16"/>
        <v>6.5092058665502869E-2</v>
      </c>
      <c r="G100">
        <f t="shared" ca="1" si="15"/>
        <v>3.2240343918281011E-2</v>
      </c>
    </row>
    <row r="101" spans="1:7" x14ac:dyDescent="0.25">
      <c r="A101" t="s">
        <v>2822</v>
      </c>
      <c r="B101" s="1">
        <f>AVERAGE(Daily_FX!B3015:B3044)</f>
        <v>15899.3</v>
      </c>
      <c r="C101">
        <f t="shared" si="12"/>
        <v>9.6740303620819539</v>
      </c>
      <c r="D101">
        <f t="shared" si="14"/>
        <v>4.1217640338061301E-2</v>
      </c>
      <c r="E101" t="str">
        <f t="shared" si="13"/>
        <v>2020Q2</v>
      </c>
      <c r="F101">
        <f t="shared" ca="1" si="16"/>
        <v>5.062737187739353E-2</v>
      </c>
      <c r="G101">
        <f t="shared" ca="1" si="15"/>
        <v>3.3544262024388816E-2</v>
      </c>
    </row>
    <row r="102" spans="1:7" x14ac:dyDescent="0.25">
      <c r="A102" t="s">
        <v>2854</v>
      </c>
      <c r="B102" s="1">
        <f>AVERAGE(Daily_FX!B3045:B3075)</f>
        <v>14913.677419354839</v>
      </c>
      <c r="C102">
        <f t="shared" si="12"/>
        <v>9.6100340184850044</v>
      </c>
      <c r="D102">
        <f t="shared" si="14"/>
        <v>-6.3996343596949501E-2</v>
      </c>
      <c r="E102" t="str">
        <f t="shared" si="13"/>
        <v>2020Q2</v>
      </c>
      <c r="F102">
        <f t="shared" ca="1" si="16"/>
        <v>8.4223299253598921E-2</v>
      </c>
      <c r="G102">
        <f t="shared" ca="1" si="15"/>
        <v>3.9548825668984156E-2</v>
      </c>
    </row>
    <row r="103" spans="1:7" x14ac:dyDescent="0.25">
      <c r="A103" t="s">
        <v>2886</v>
      </c>
      <c r="B103" s="1">
        <f>AVERAGE(Daily_FX!B3076:B3105)</f>
        <v>14217.466666666667</v>
      </c>
      <c r="C103">
        <f t="shared" si="12"/>
        <v>9.5622265346497493</v>
      </c>
      <c r="D103">
        <f t="shared" si="14"/>
        <v>-4.7807483835255127E-2</v>
      </c>
      <c r="E103" t="str">
        <f t="shared" si="13"/>
        <v>2020Q2</v>
      </c>
      <c r="F103">
        <f t="shared" ca="1" si="16"/>
        <v>5.6653235167898004E-2</v>
      </c>
      <c r="G103">
        <f t="shared" ca="1" si="15"/>
        <v>4.2131454627731255E-2</v>
      </c>
    </row>
    <row r="104" spans="1:7" x14ac:dyDescent="0.25">
      <c r="A104" t="s">
        <v>2917</v>
      </c>
      <c r="B104" s="1">
        <f>AVERAGE(Daily_FX!B3106:B3136)</f>
        <v>14593.161290322581</v>
      </c>
      <c r="C104">
        <f t="shared" si="12"/>
        <v>9.5883082931882182</v>
      </c>
      <c r="D104">
        <f t="shared" si="14"/>
        <v>2.6081758538468947E-2</v>
      </c>
      <c r="E104" t="str">
        <f t="shared" si="13"/>
        <v>2020Q3</v>
      </c>
      <c r="F104">
        <f t="shared" ca="1" si="16"/>
        <v>4.8020418926510877E-2</v>
      </c>
      <c r="G104">
        <f t="shared" ca="1" si="15"/>
        <v>4.246142610942244E-2</v>
      </c>
    </row>
    <row r="105" spans="1:7" x14ac:dyDescent="0.25">
      <c r="A105" t="s">
        <v>2950</v>
      </c>
      <c r="B105" s="1">
        <f>AVERAGE(Daily_FX!B3137:B3167)</f>
        <v>14740</v>
      </c>
      <c r="C105">
        <f t="shared" si="12"/>
        <v>9.5983201657433277</v>
      </c>
      <c r="D105">
        <f t="shared" si="14"/>
        <v>1.0011872555109491E-2</v>
      </c>
      <c r="E105" t="str">
        <f t="shared" si="13"/>
        <v>2020Q3</v>
      </c>
      <c r="F105">
        <f t="shared" ca="1" si="16"/>
        <v>3.8860732853522609E-2</v>
      </c>
      <c r="G105">
        <f t="shared" ca="1" si="15"/>
        <v>4.2388524010379486E-2</v>
      </c>
    </row>
    <row r="106" spans="1:7" x14ac:dyDescent="0.25">
      <c r="A106" t="s">
        <v>2982</v>
      </c>
      <c r="B106" s="1">
        <f>AVERAGE(Daily_FX!B3168:B3197)</f>
        <v>14854.5</v>
      </c>
      <c r="C106">
        <f t="shared" si="12"/>
        <v>9.6060581286294671</v>
      </c>
      <c r="D106">
        <f t="shared" si="14"/>
        <v>7.7379628861393712E-3</v>
      </c>
      <c r="E106" t="str">
        <f t="shared" si="13"/>
        <v>2020Q3</v>
      </c>
      <c r="F106">
        <f t="shared" ca="1" si="16"/>
        <v>9.9992228000916304E-3</v>
      </c>
      <c r="G106">
        <f t="shared" ca="1" si="15"/>
        <v>4.2237326916597782E-2</v>
      </c>
    </row>
    <row r="107" spans="1:7" x14ac:dyDescent="0.25">
      <c r="A107" t="s">
        <v>3013</v>
      </c>
      <c r="B107" s="1">
        <f>AVERAGE(Daily_FX!B3198:B3228)</f>
        <v>14755.903225806451</v>
      </c>
      <c r="C107">
        <f t="shared" si="12"/>
        <v>9.5993985004005662</v>
      </c>
      <c r="D107">
        <f t="shared" si="14"/>
        <v>-6.6596282289008712E-3</v>
      </c>
      <c r="E107" t="str">
        <f t="shared" si="13"/>
        <v>2020Q4</v>
      </c>
      <c r="F107">
        <f t="shared" ca="1" si="16"/>
        <v>9.0406510964806414E-3</v>
      </c>
      <c r="G107">
        <f t="shared" ca="1" si="15"/>
        <v>4.2346298040360532E-2</v>
      </c>
    </row>
    <row r="108" spans="1:7" x14ac:dyDescent="0.25">
      <c r="A108" t="s">
        <v>3046</v>
      </c>
      <c r="B108" s="1">
        <f>AVERAGE(Daily_FX!B3229:B3258)</f>
        <v>14249.833333333334</v>
      </c>
      <c r="C108">
        <f t="shared" si="12"/>
        <v>9.5645004897219668</v>
      </c>
      <c r="D108">
        <f t="shared" si="14"/>
        <v>-3.4898010678599434E-2</v>
      </c>
      <c r="E108" t="str">
        <f t="shared" si="13"/>
        <v>2020Q4</v>
      </c>
      <c r="F108">
        <f t="shared" ca="1" si="16"/>
        <v>2.1689179772044691E-2</v>
      </c>
      <c r="G108">
        <f t="shared" ca="1" si="15"/>
        <v>4.3776133444455127E-2</v>
      </c>
    </row>
    <row r="109" spans="1:7" x14ac:dyDescent="0.25">
      <c r="A109" t="s">
        <v>3077</v>
      </c>
      <c r="B109" s="1">
        <f>AVERAGE(Daily_FX!B3259:B3289)</f>
        <v>14174.354838709678</v>
      </c>
      <c r="C109">
        <f t="shared" si="12"/>
        <v>9.5591896135361498</v>
      </c>
      <c r="D109">
        <f t="shared" si="14"/>
        <v>-5.3108761858169373E-3</v>
      </c>
      <c r="E109" t="str">
        <f t="shared" si="13"/>
        <v>2020Q4</v>
      </c>
      <c r="F109">
        <f t="shared" ca="1" si="16"/>
        <v>1.6706405472867621E-2</v>
      </c>
      <c r="G109">
        <f t="shared" ca="1" si="15"/>
        <v>4.3790615681962797E-2</v>
      </c>
    </row>
    <row r="110" spans="1:7" x14ac:dyDescent="0.25">
      <c r="A110" t="s">
        <v>3109</v>
      </c>
      <c r="B110" s="1">
        <f>AVERAGE(Daily_FX!B3290:B3320)</f>
        <v>14067.129032258064</v>
      </c>
      <c r="C110">
        <f t="shared" ref="C110:C141" si="17">IFERROR(LN(B110),"")</f>
        <v>9.5515960804076059</v>
      </c>
      <c r="D110">
        <f t="shared" si="14"/>
        <v>-7.5935331285439389E-3</v>
      </c>
      <c r="E110" t="str">
        <f t="shared" ref="E110:E141" si="18">LEFT(A110,4)&amp;"Q"&amp;ROUNDUP(VALUE(RIGHT(A110,2))/3,0)</f>
        <v>2021Q1</v>
      </c>
      <c r="F110">
        <f t="shared" ca="1" si="16"/>
        <v>1.6462804259368372E-2</v>
      </c>
      <c r="G110">
        <f t="shared" ca="1" si="15"/>
        <v>4.3421911768257111E-2</v>
      </c>
    </row>
    <row r="111" spans="1:7" x14ac:dyDescent="0.25">
      <c r="A111" t="s">
        <v>3142</v>
      </c>
      <c r="B111" s="1">
        <f>AVERAGE(Daily_FX!B3321:B3348)</f>
        <v>14057.714285714286</v>
      </c>
      <c r="C111">
        <f t="shared" si="17"/>
        <v>9.5509265835653299</v>
      </c>
      <c r="D111">
        <f t="shared" ref="D111:D142" si="19">IFERROR(C111-C110,"")</f>
        <v>-6.6949684227601836E-4</v>
      </c>
      <c r="E111" t="str">
        <f t="shared" si="18"/>
        <v>2021Q1</v>
      </c>
      <c r="F111">
        <f t="shared" ca="1" si="16"/>
        <v>3.5283424678448035E-3</v>
      </c>
      <c r="G111">
        <f t="shared" ca="1" si="15"/>
        <v>4.3428411877761877E-2</v>
      </c>
    </row>
    <row r="112" spans="1:7" x14ac:dyDescent="0.25">
      <c r="A112" t="s">
        <v>3171</v>
      </c>
      <c r="B112" s="1">
        <f>AVERAGE(Daily_FX!B3349:B3379)</f>
        <v>14417.032258064517</v>
      </c>
      <c r="C112">
        <f t="shared" si="17"/>
        <v>9.5761655823112743</v>
      </c>
      <c r="D112">
        <f t="shared" si="19"/>
        <v>2.5238998745944485E-2</v>
      </c>
      <c r="E112" t="str">
        <f t="shared" si="18"/>
        <v>2021Q1</v>
      </c>
      <c r="F112">
        <f t="shared" ca="1" si="16"/>
        <v>1.7306875182172037E-2</v>
      </c>
      <c r="G112">
        <f t="shared" ca="1" si="15"/>
        <v>3.109880032990903E-2</v>
      </c>
    </row>
    <row r="113" spans="1:7" x14ac:dyDescent="0.25">
      <c r="A113" t="s">
        <v>3203</v>
      </c>
      <c r="B113" s="1">
        <f>AVERAGE(Daily_FX!B3380:B3409)</f>
        <v>14558.1</v>
      </c>
      <c r="C113">
        <f t="shared" si="17"/>
        <v>9.5859028187300339</v>
      </c>
      <c r="D113">
        <f t="shared" si="19"/>
        <v>9.737236418759565E-3</v>
      </c>
      <c r="E113" t="str">
        <f t="shared" si="18"/>
        <v>2021Q2</v>
      </c>
      <c r="F113">
        <f t="shared" ca="1" si="16"/>
        <v>1.3037477235900327E-2</v>
      </c>
      <c r="G113">
        <f t="shared" ca="1" si="15"/>
        <v>2.8049650743755428E-2</v>
      </c>
    </row>
    <row r="114" spans="1:7" x14ac:dyDescent="0.25">
      <c r="A114" t="s">
        <v>3235</v>
      </c>
      <c r="B114" s="1">
        <f>AVERAGE(Daily_FX!B3410:B3440)</f>
        <v>14318.516129032258</v>
      </c>
      <c r="C114">
        <f t="shared" si="17"/>
        <v>9.5693088128711938</v>
      </c>
      <c r="D114">
        <f t="shared" si="19"/>
        <v>-1.6594005858840077E-2</v>
      </c>
      <c r="E114" t="str">
        <f t="shared" si="18"/>
        <v>2021Q2</v>
      </c>
      <c r="F114">
        <f t="shared" ca="1" si="16"/>
        <v>2.114883459907467E-2</v>
      </c>
      <c r="G114">
        <f t="shared" ca="1" si="15"/>
        <v>2.2040117291369902E-2</v>
      </c>
    </row>
    <row r="115" spans="1:7" x14ac:dyDescent="0.25">
      <c r="A115" t="s">
        <v>3267</v>
      </c>
      <c r="B115" s="1">
        <f>AVERAGE(Daily_FX!B3441:B3470)</f>
        <v>14347.233333333334</v>
      </c>
      <c r="C115">
        <f t="shared" si="17"/>
        <v>9.5713124035287898</v>
      </c>
      <c r="D115">
        <f t="shared" si="19"/>
        <v>2.0035906575959217E-3</v>
      </c>
      <c r="E115" t="str">
        <f t="shared" si="18"/>
        <v>2021Q2</v>
      </c>
      <c r="F115">
        <f t="shared" ca="1" si="16"/>
        <v>1.3533995424048335E-2</v>
      </c>
      <c r="G115">
        <f t="shared" ca="1" si="15"/>
        <v>1.7037994397119761E-2</v>
      </c>
    </row>
    <row r="116" spans="1:7" x14ac:dyDescent="0.25">
      <c r="A116" t="s">
        <v>3298</v>
      </c>
      <c r="B116" s="1">
        <f>AVERAGE(Daily_FX!B3471:B3501)</f>
        <v>14512.935483870968</v>
      </c>
      <c r="C116">
        <f t="shared" si="17"/>
        <v>9.5827956330578061</v>
      </c>
      <c r="D116">
        <f t="shared" si="19"/>
        <v>1.148322952901637E-2</v>
      </c>
      <c r="E116" t="str">
        <f t="shared" si="18"/>
        <v>2021Q3</v>
      </c>
      <c r="F116">
        <f t="shared" ca="1" si="16"/>
        <v>1.4283237823557353E-2</v>
      </c>
      <c r="G116">
        <f t="shared" ca="1" si="15"/>
        <v>1.5518842452617157E-2</v>
      </c>
    </row>
    <row r="117" spans="1:7" x14ac:dyDescent="0.25">
      <c r="A117" t="s">
        <v>3331</v>
      </c>
      <c r="B117" s="1">
        <f>AVERAGE(Daily_FX!B3502:B3532)</f>
        <v>14398.193548387097</v>
      </c>
      <c r="C117">
        <f t="shared" si="17"/>
        <v>9.5748580296661565</v>
      </c>
      <c r="D117">
        <f t="shared" si="19"/>
        <v>-7.9376033916496169E-3</v>
      </c>
      <c r="E117" t="str">
        <f t="shared" si="18"/>
        <v>2021Q3</v>
      </c>
      <c r="F117">
        <f t="shared" ca="1" si="16"/>
        <v>9.7113305266728189E-3</v>
      </c>
      <c r="G117">
        <f t="shared" ca="1" si="15"/>
        <v>1.5281024884332644E-2</v>
      </c>
    </row>
    <row r="118" spans="1:7" x14ac:dyDescent="0.25">
      <c r="A118" t="s">
        <v>3363</v>
      </c>
      <c r="B118" s="1">
        <f>AVERAGE(Daily_FX!B3533:B3562)</f>
        <v>14253.533333333333</v>
      </c>
      <c r="C118">
        <f t="shared" si="17"/>
        <v>9.5647601081778522</v>
      </c>
      <c r="D118">
        <f t="shared" si="19"/>
        <v>-1.0097921488304351E-2</v>
      </c>
      <c r="E118" t="str">
        <f t="shared" si="18"/>
        <v>2021Q3</v>
      </c>
      <c r="F118">
        <f t="shared" ca="1" si="16"/>
        <v>1.1885437902769653E-2</v>
      </c>
      <c r="G118">
        <f t="shared" ca="1" si="15"/>
        <v>1.5119055796942575E-2</v>
      </c>
    </row>
    <row r="119" spans="1:7" x14ac:dyDescent="0.25">
      <c r="A119" t="s">
        <v>3394</v>
      </c>
      <c r="B119" s="1">
        <f>AVERAGE(Daily_FX!B3563:B3593)</f>
        <v>14187.516129032258</v>
      </c>
      <c r="C119">
        <f t="shared" si="17"/>
        <v>9.5601177110712001</v>
      </c>
      <c r="D119">
        <f t="shared" si="19"/>
        <v>-4.6423971066520409E-3</v>
      </c>
      <c r="E119" t="str">
        <f t="shared" si="18"/>
        <v>2021Q4</v>
      </c>
      <c r="F119">
        <f t="shared" ca="1" si="16"/>
        <v>2.7473655568630434E-3</v>
      </c>
      <c r="G119">
        <f t="shared" ca="1" si="15"/>
        <v>1.5091210686288306E-2</v>
      </c>
    </row>
    <row r="120" spans="1:7" x14ac:dyDescent="0.25">
      <c r="A120" t="s">
        <v>3427</v>
      </c>
      <c r="B120" s="1">
        <f>AVERAGE(Daily_FX!B3594:B3623)</f>
        <v>14273.8</v>
      </c>
      <c r="C120">
        <f t="shared" si="17"/>
        <v>9.5661809679434295</v>
      </c>
      <c r="D120">
        <f t="shared" si="19"/>
        <v>6.0632568722294167E-3</v>
      </c>
      <c r="E120" t="str">
        <f t="shared" si="18"/>
        <v>2021Q4</v>
      </c>
      <c r="F120">
        <f t="shared" ca="1" si="16"/>
        <v>8.2214907346065506E-3</v>
      </c>
      <c r="G120">
        <f t="shared" ca="1" si="15"/>
        <v>1.1490823774856176E-2</v>
      </c>
    </row>
    <row r="121" spans="1:7" x14ac:dyDescent="0.25">
      <c r="A121" t="s">
        <v>3458</v>
      </c>
      <c r="B121" s="1">
        <f>AVERAGE(Daily_FX!B3624:B3654)</f>
        <v>14329.645161290322</v>
      </c>
      <c r="C121">
        <f t="shared" si="17"/>
        <v>9.5700857585679948</v>
      </c>
      <c r="D121">
        <f t="shared" si="19"/>
        <v>3.9047906245652797E-3</v>
      </c>
      <c r="E121" t="str">
        <f t="shared" si="18"/>
        <v>2021Q4</v>
      </c>
      <c r="F121">
        <f t="shared" ca="1" si="16"/>
        <v>5.6616314163928285E-3</v>
      </c>
      <c r="G121">
        <f t="shared" ca="1" si="15"/>
        <v>1.1401008040659062E-2</v>
      </c>
    </row>
    <row r="122" spans="1:7" x14ac:dyDescent="0.25">
      <c r="A122" t="s">
        <v>3490</v>
      </c>
      <c r="B122" s="1">
        <f>AVERAGE(Daily_FX!B3655:B3685)</f>
        <v>14338.903225806451</v>
      </c>
      <c r="C122">
        <f t="shared" si="17"/>
        <v>9.5707316276725596</v>
      </c>
      <c r="D122">
        <f t="shared" si="19"/>
        <v>6.4586910456476687E-4</v>
      </c>
      <c r="E122" t="str">
        <f t="shared" si="18"/>
        <v>2022Q1</v>
      </c>
      <c r="F122">
        <f t="shared" ca="1" si="16"/>
        <v>2.7272585820768305E-3</v>
      </c>
      <c r="G122">
        <f t="shared" ca="1" si="15"/>
        <v>1.1086223897059152E-2</v>
      </c>
    </row>
    <row r="123" spans="1:7" x14ac:dyDescent="0.25">
      <c r="A123" t="s">
        <v>3523</v>
      </c>
      <c r="B123" s="1">
        <f>AVERAGE(Daily_FX!B3686:B3713)</f>
        <v>14355.107142857143</v>
      </c>
      <c r="C123">
        <f t="shared" si="17"/>
        <v>9.5718610563278776</v>
      </c>
      <c r="D123">
        <f t="shared" si="19"/>
        <v>1.1294286553180655E-3</v>
      </c>
      <c r="E123" t="str">
        <f t="shared" si="18"/>
        <v>2022Q1</v>
      </c>
      <c r="F123">
        <f t="shared" ca="1" si="16"/>
        <v>1.7586468933525263E-3</v>
      </c>
      <c r="G123">
        <f t="shared" ca="1" si="15"/>
        <v>1.1064966956607197E-2</v>
      </c>
    </row>
    <row r="124" spans="1:7" x14ac:dyDescent="0.25">
      <c r="A124" t="s">
        <v>3552</v>
      </c>
      <c r="B124" s="1">
        <f>AVERAGE(Daily_FX!B3714:B3744)</f>
        <v>14347.451612903225</v>
      </c>
      <c r="C124">
        <f t="shared" si="17"/>
        <v>9.5713276174661654</v>
      </c>
      <c r="D124">
        <f t="shared" si="19"/>
        <v>-5.3343886171219879E-4</v>
      </c>
      <c r="E124" t="str">
        <f t="shared" si="18"/>
        <v>2022Q1</v>
      </c>
      <c r="F124">
        <f t="shared" ca="1" si="16"/>
        <v>8.5534841805775673E-4</v>
      </c>
      <c r="G124">
        <f t="shared" ca="1" si="15"/>
        <v>8.2275394039584421E-3</v>
      </c>
    </row>
    <row r="125" spans="1:7" x14ac:dyDescent="0.25">
      <c r="A125" t="s">
        <v>3584</v>
      </c>
      <c r="B125" s="1">
        <f>AVERAGE(Daily_FX!B3745:B3774)</f>
        <v>14377.2</v>
      </c>
      <c r="C125">
        <f t="shared" si="17"/>
        <v>9.5733988974338544</v>
      </c>
      <c r="D125">
        <f t="shared" si="19"/>
        <v>2.0712799676889659E-3</v>
      </c>
      <c r="E125" t="str">
        <f t="shared" si="18"/>
        <v>2022Q2</v>
      </c>
      <c r="F125">
        <f t="shared" ca="1" si="16"/>
        <v>1.3188866803764301E-3</v>
      </c>
      <c r="G125">
        <f t="shared" ca="1" si="15"/>
        <v>7.6456426492208362E-3</v>
      </c>
    </row>
    <row r="126" spans="1:7" x14ac:dyDescent="0.25">
      <c r="A126" t="s">
        <v>3616</v>
      </c>
      <c r="B126" s="1">
        <f>AVERAGE(Daily_FX!B3775:B3805)</f>
        <v>14582.322580645161</v>
      </c>
      <c r="C126">
        <f t="shared" si="17"/>
        <v>9.5875652919599279</v>
      </c>
      <c r="D126">
        <f t="shared" si="19"/>
        <v>1.4166394526073489E-2</v>
      </c>
      <c r="E126" t="str">
        <f t="shared" si="18"/>
        <v>2022Q2</v>
      </c>
      <c r="F126">
        <f t="shared" ca="1" si="16"/>
        <v>7.8439090806109012E-3</v>
      </c>
      <c r="G126">
        <f t="shared" ca="1" si="15"/>
        <v>7.0941342931553422E-3</v>
      </c>
    </row>
    <row r="127" spans="1:7" x14ac:dyDescent="0.25">
      <c r="A127" t="s">
        <v>3648</v>
      </c>
      <c r="B127" s="1">
        <f>AVERAGE(Daily_FX!B3806:B3835)</f>
        <v>14689.666666666666</v>
      </c>
      <c r="C127">
        <f t="shared" si="17"/>
        <v>9.5948995777373405</v>
      </c>
      <c r="D127">
        <f t="shared" si="19"/>
        <v>7.3342857774125747E-3</v>
      </c>
      <c r="E127" t="str">
        <f t="shared" si="18"/>
        <v>2022Q2</v>
      </c>
      <c r="F127">
        <f t="shared" ca="1" si="16"/>
        <v>6.0644969053109815E-3</v>
      </c>
      <c r="G127">
        <f t="shared" ca="1" si="15"/>
        <v>7.2912372533758376E-3</v>
      </c>
    </row>
    <row r="128" spans="1:7" x14ac:dyDescent="0.25">
      <c r="A128" t="s">
        <v>3679</v>
      </c>
      <c r="B128" s="1">
        <f>AVERAGE(Daily_FX!B3836:B3866)</f>
        <v>14977.096774193549</v>
      </c>
      <c r="C128">
        <f t="shared" si="17"/>
        <v>9.6142774314920878</v>
      </c>
      <c r="D128">
        <f t="shared" si="19"/>
        <v>1.9377853754747321E-2</v>
      </c>
      <c r="E128" t="str">
        <f t="shared" si="18"/>
        <v>2022Q3</v>
      </c>
      <c r="F128">
        <f t="shared" ca="1" si="16"/>
        <v>6.0399302820250802E-3</v>
      </c>
      <c r="G128">
        <f t="shared" ca="1" si="15"/>
        <v>8.4863051859511828E-3</v>
      </c>
    </row>
    <row r="129" spans="1:7" x14ac:dyDescent="0.25">
      <c r="A129" t="s">
        <v>3712</v>
      </c>
      <c r="B129" s="1">
        <f>AVERAGE(Daily_FX!B3867:B3897)</f>
        <v>14838.774193548386</v>
      </c>
      <c r="C129">
        <f t="shared" si="17"/>
        <v>9.6049989117967662</v>
      </c>
      <c r="D129">
        <f t="shared" si="19"/>
        <v>-9.2785196953215632E-3</v>
      </c>
      <c r="E129" t="str">
        <f t="shared" si="18"/>
        <v>2022Q3</v>
      </c>
      <c r="F129">
        <f t="shared" ca="1" si="16"/>
        <v>1.4388772096148446E-2</v>
      </c>
      <c r="G129">
        <f t="shared" ca="1" si="15"/>
        <v>8.6453477646401353E-3</v>
      </c>
    </row>
    <row r="130" spans="1:7" x14ac:dyDescent="0.25">
      <c r="A130" t="s">
        <v>3744</v>
      </c>
      <c r="B130" s="1">
        <f>AVERAGE(Daily_FX!B3898:B3927)</f>
        <v>14973.266666666666</v>
      </c>
      <c r="C130">
        <f t="shared" si="17"/>
        <v>9.6140216678146082</v>
      </c>
      <c r="D130">
        <f t="shared" si="19"/>
        <v>9.0227560178419708E-3</v>
      </c>
      <c r="E130" t="str">
        <f t="shared" si="18"/>
        <v>2022Q3</v>
      </c>
      <c r="F130">
        <f t="shared" ca="1" si="16"/>
        <v>1.4510642537920828E-2</v>
      </c>
      <c r="G130">
        <f t="shared" ca="1" si="15"/>
        <v>7.8339905381763237E-3</v>
      </c>
    </row>
    <row r="131" spans="1:7" x14ac:dyDescent="0.25">
      <c r="A131" t="s">
        <v>3775</v>
      </c>
      <c r="B131" s="1">
        <f>AVERAGE(Daily_FX!B3928:B3958)</f>
        <v>15424.870967741936</v>
      </c>
      <c r="C131">
        <f t="shared" si="17"/>
        <v>9.6437364836003141</v>
      </c>
      <c r="D131">
        <f t="shared" si="19"/>
        <v>2.9714815785705895E-2</v>
      </c>
      <c r="E131" t="str">
        <f t="shared" si="18"/>
        <v>2022Q4</v>
      </c>
      <c r="F131">
        <f t="shared" ca="1" si="16"/>
        <v>1.9508879354890502E-2</v>
      </c>
      <c r="G131">
        <f t="shared" ca="1" si="15"/>
        <v>1.0251625546363351E-2</v>
      </c>
    </row>
    <row r="132" spans="1:7" x14ac:dyDescent="0.25">
      <c r="A132" t="s">
        <v>3808</v>
      </c>
      <c r="B132" s="1">
        <f>AVERAGE(Daily_FX!B3959:B3988)</f>
        <v>15660.533333333333</v>
      </c>
      <c r="C132">
        <f t="shared" si="17"/>
        <v>9.6588990260104168</v>
      </c>
      <c r="D132">
        <f t="shared" si="19"/>
        <v>1.5162542410102731E-2</v>
      </c>
      <c r="E132" t="str">
        <f t="shared" si="18"/>
        <v>2022Q4</v>
      </c>
      <c r="F132">
        <f t="shared" ca="1" si="16"/>
        <v>1.0627221138643063E-2</v>
      </c>
      <c r="G132">
        <f t="shared" ca="1" si="15"/>
        <v>1.0511820621254508E-2</v>
      </c>
    </row>
    <row r="133" spans="1:7" x14ac:dyDescent="0.25">
      <c r="A133" t="s">
        <v>3839</v>
      </c>
      <c r="B133" s="1">
        <f>AVERAGE(Daily_FX!B3989:B4019)</f>
        <v>15595.096774193549</v>
      </c>
      <c r="C133">
        <f t="shared" si="17"/>
        <v>9.6547118344855249</v>
      </c>
      <c r="D133">
        <f t="shared" si="19"/>
        <v>-4.1871915248918867E-3</v>
      </c>
      <c r="E133" t="str">
        <f t="shared" si="18"/>
        <v>2022Q4</v>
      </c>
      <c r="F133">
        <f t="shared" ca="1" si="16"/>
        <v>1.7007483467781647E-2</v>
      </c>
      <c r="G133">
        <f t="shared" ca="1" si="15"/>
        <v>1.1026233514840255E-2</v>
      </c>
    </row>
    <row r="134" spans="1:7" x14ac:dyDescent="0.25">
      <c r="A134" t="s">
        <v>3871</v>
      </c>
      <c r="B134" s="1">
        <f>AVERAGE(Daily_FX!B4020:B4050)</f>
        <v>15262.41935483871</v>
      </c>
      <c r="C134">
        <f t="shared" si="17"/>
        <v>9.6331488345287486</v>
      </c>
      <c r="D134">
        <f t="shared" si="19"/>
        <v>-2.1562999956776352E-2</v>
      </c>
      <c r="E134" t="str">
        <f t="shared" si="18"/>
        <v>2023Q1</v>
      </c>
      <c r="F134">
        <f t="shared" ca="1" si="16"/>
        <v>1.8371610273091015E-2</v>
      </c>
      <c r="G134">
        <f t="shared" ca="1" si="15"/>
        <v>1.3731320045528178E-2</v>
      </c>
    </row>
    <row r="135" spans="1:7" x14ac:dyDescent="0.25">
      <c r="A135" t="s">
        <v>3904</v>
      </c>
      <c r="B135" s="1">
        <f>AVERAGE(Daily_FX!B4051:B4078)</f>
        <v>15131.214285714286</v>
      </c>
      <c r="C135">
        <f t="shared" si="17"/>
        <v>9.6245150603838248</v>
      </c>
      <c r="D135">
        <f t="shared" si="19"/>
        <v>-8.6337741449238337E-3</v>
      </c>
      <c r="E135" t="str">
        <f t="shared" si="18"/>
        <v>2023Q1</v>
      </c>
      <c r="F135">
        <f t="shared" ca="1" si="16"/>
        <v>9.0264028988313941E-3</v>
      </c>
      <c r="G135">
        <f t="shared" ca="1" si="15"/>
        <v>1.4273080393359856E-2</v>
      </c>
    </row>
    <row r="136" spans="1:7" x14ac:dyDescent="0.25">
      <c r="A136" t="s">
        <v>3933</v>
      </c>
      <c r="B136" s="1">
        <f>AVERAGE(Daily_FX!B4079:B4109)</f>
        <v>15303.354838709678</v>
      </c>
      <c r="C136">
        <f t="shared" si="17"/>
        <v>9.635827353848164</v>
      </c>
      <c r="D136">
        <f t="shared" si="19"/>
        <v>1.1312293464339263E-2</v>
      </c>
      <c r="E136" t="str">
        <f t="shared" si="18"/>
        <v>2023Q1</v>
      </c>
      <c r="F136">
        <f t="shared" ca="1" si="16"/>
        <v>1.6561981618009036E-2</v>
      </c>
      <c r="G136">
        <f t="shared" ca="1" si="15"/>
        <v>1.4311358601688301E-2</v>
      </c>
    </row>
    <row r="137" spans="1:7" x14ac:dyDescent="0.25">
      <c r="A137" t="s">
        <v>3965</v>
      </c>
      <c r="B137" s="1">
        <f>AVERAGE(Daily_FX!B4110:B4139)</f>
        <v>14841.333333333334</v>
      </c>
      <c r="C137">
        <f t="shared" si="17"/>
        <v>9.6051713599450075</v>
      </c>
      <c r="D137">
        <f t="shared" si="19"/>
        <v>-3.0655993903156542E-2</v>
      </c>
      <c r="E137" t="str">
        <f t="shared" si="18"/>
        <v>2023Q2</v>
      </c>
      <c r="F137">
        <f t="shared" ca="1" si="16"/>
        <v>2.0992700797792779E-2</v>
      </c>
      <c r="G137">
        <f t="shared" ca="1" si="15"/>
        <v>1.7712412567009474E-2</v>
      </c>
    </row>
    <row r="138" spans="1:7" x14ac:dyDescent="0.25">
      <c r="A138" t="s">
        <v>3997</v>
      </c>
      <c r="B138" s="1">
        <f>AVERAGE(Daily_FX!B4140:B4170)</f>
        <v>14803.41935483871</v>
      </c>
      <c r="C138">
        <f t="shared" si="17"/>
        <v>9.6026134705562587</v>
      </c>
      <c r="D138">
        <f t="shared" si="19"/>
        <v>-2.5578893887487908E-3</v>
      </c>
      <c r="E138" t="str">
        <f t="shared" si="18"/>
        <v>2023Q2</v>
      </c>
      <c r="F138">
        <f t="shared" ca="1" si="16"/>
        <v>2.1382323674168292E-2</v>
      </c>
      <c r="G138">
        <f t="shared" ca="1" si="15"/>
        <v>1.7378499483347611E-2</v>
      </c>
    </row>
    <row r="139" spans="1:7" x14ac:dyDescent="0.25">
      <c r="A139" t="s">
        <v>4029</v>
      </c>
      <c r="B139" s="1">
        <f>AVERAGE(Daily_FX!B4171:B4200)</f>
        <v>14944.2</v>
      </c>
      <c r="C139">
        <f t="shared" si="17"/>
        <v>9.6120785436767129</v>
      </c>
      <c r="D139">
        <f t="shared" si="19"/>
        <v>9.4650731204541927E-3</v>
      </c>
      <c r="E139" t="str">
        <f t="shared" si="18"/>
        <v>2023Q2</v>
      </c>
      <c r="F139">
        <f t="shared" ca="1" si="16"/>
        <v>2.0590269238620732E-2</v>
      </c>
      <c r="G139">
        <f t="shared" ca="1" si="15"/>
        <v>1.7456981192454243E-2</v>
      </c>
    </row>
    <row r="140" spans="1:7" x14ac:dyDescent="0.25">
      <c r="A140" t="s">
        <v>4060</v>
      </c>
      <c r="B140" s="1">
        <f>AVERAGE(Daily_FX!B4201:B4231)</f>
        <v>15029.741935483871</v>
      </c>
      <c r="C140">
        <f t="shared" si="17"/>
        <v>9.6177863126384615</v>
      </c>
      <c r="D140">
        <f t="shared" si="19"/>
        <v>5.7077689617486271E-3</v>
      </c>
      <c r="E140" t="str">
        <f t="shared" si="18"/>
        <v>2023Q3</v>
      </c>
      <c r="F140">
        <f t="shared" ca="1" si="16"/>
        <v>6.1507461607769503E-3</v>
      </c>
      <c r="G140">
        <f t="shared" ca="1" si="15"/>
        <v>1.6604634014357304E-2</v>
      </c>
    </row>
    <row r="141" spans="1:7" x14ac:dyDescent="0.25">
      <c r="A141" t="s">
        <v>4093</v>
      </c>
      <c r="B141" s="1">
        <f>AVERAGE(Daily_FX!B4232:B4262)</f>
        <v>15247.258064516129</v>
      </c>
      <c r="C141">
        <f t="shared" si="17"/>
        <v>9.6321549668216484</v>
      </c>
      <c r="D141">
        <f t="shared" si="19"/>
        <v>1.4368654183186891E-2</v>
      </c>
      <c r="E141" t="str">
        <f t="shared" si="18"/>
        <v>2023Q3</v>
      </c>
      <c r="F141">
        <f t="shared" ca="1" si="16"/>
        <v>4.3430667850944604E-3</v>
      </c>
      <c r="G141">
        <f t="shared" ca="1" si="15"/>
        <v>1.6767912042973603E-2</v>
      </c>
    </row>
    <row r="142" spans="1:7" x14ac:dyDescent="0.25">
      <c r="A142" t="s">
        <v>4125</v>
      </c>
      <c r="B142" s="1">
        <f>AVERAGE(Daily_FX!B4263:B4292)</f>
        <v>15357.466666666667</v>
      </c>
      <c r="C142">
        <f t="shared" ref="C142:C166" si="20">IFERROR(LN(B142),"")</f>
        <v>9.6393570625435672</v>
      </c>
      <c r="D142">
        <f t="shared" si="19"/>
        <v>7.2020957219187665E-3</v>
      </c>
      <c r="E142" t="str">
        <f t="shared" ref="E142:E166" si="21">LEFT(A142,4)&amp;"Q"&amp;ROUNDUP(VALUE(RIGHT(A142,2))/3,0)</f>
        <v>2023Q3</v>
      </c>
      <c r="F142">
        <f t="shared" ca="1" si="16"/>
        <v>4.6296779129125542E-3</v>
      </c>
      <c r="G142">
        <f t="shared" ca="1" si="15"/>
        <v>1.6709321745815263E-2</v>
      </c>
    </row>
    <row r="143" spans="1:7" x14ac:dyDescent="0.25">
      <c r="A143" t="s">
        <v>4156</v>
      </c>
      <c r="B143" s="1">
        <f>AVERAGE(Daily_FX!B4293:B4323)</f>
        <v>15741.322580645161</v>
      </c>
      <c r="C143">
        <f t="shared" si="20"/>
        <v>9.6640445451659431</v>
      </c>
      <c r="D143">
        <f t="shared" ref="D143:D166" si="22">IFERROR(C143-C142,"")</f>
        <v>2.4687482622375967E-2</v>
      </c>
      <c r="E143" t="str">
        <f t="shared" si="21"/>
        <v>2023Q4</v>
      </c>
      <c r="F143">
        <f t="shared" ca="1" si="16"/>
        <v>8.7899235453147446E-3</v>
      </c>
      <c r="G143">
        <f t="shared" ref="G143:G166" ca="1" si="23">IF(ROW()&gt;13,_xlfn.STDEV.S(OFFSET(D143,-11,0,12,1)),NA())</f>
        <v>1.6002384362400028E-2</v>
      </c>
    </row>
    <row r="144" spans="1:7" x14ac:dyDescent="0.25">
      <c r="A144" t="s">
        <v>4189</v>
      </c>
      <c r="B144" s="1">
        <f>AVERAGE(Daily_FX!B4324:B4353)</f>
        <v>15632.633333333333</v>
      </c>
      <c r="C144">
        <f t="shared" si="20"/>
        <v>9.6571158886443769</v>
      </c>
      <c r="D144">
        <f t="shared" si="22"/>
        <v>-6.9286565215662677E-3</v>
      </c>
      <c r="E144" t="str">
        <f t="shared" si="21"/>
        <v>2023Q4</v>
      </c>
      <c r="F144">
        <f t="shared" ca="1" si="16"/>
        <v>1.5837703791872493E-2</v>
      </c>
      <c r="G144">
        <f t="shared" ca="1" si="23"/>
        <v>1.5576923770771769E-2</v>
      </c>
    </row>
    <row r="145" spans="1:7" x14ac:dyDescent="0.25">
      <c r="A145" t="s">
        <v>4220</v>
      </c>
      <c r="B145" s="1">
        <f>AVERAGE(Daily_FX!B4354:B4384)</f>
        <v>15506.451612903225</v>
      </c>
      <c r="C145">
        <f t="shared" si="20"/>
        <v>9.6490114493969052</v>
      </c>
      <c r="D145">
        <f t="shared" si="22"/>
        <v>-8.1044392474716176E-3</v>
      </c>
      <c r="E145" t="str">
        <f t="shared" si="21"/>
        <v>2023Q4</v>
      </c>
      <c r="F145">
        <f t="shared" ca="1" si="16"/>
        <v>1.8602297614837091E-2</v>
      </c>
      <c r="G145">
        <f t="shared" ca="1" si="23"/>
        <v>1.5709732239699466E-2</v>
      </c>
    </row>
    <row r="146" spans="1:7" x14ac:dyDescent="0.25">
      <c r="A146" t="s">
        <v>4252</v>
      </c>
      <c r="B146" s="1">
        <f>AVERAGE(Daily_FX!B4385:B4415)</f>
        <v>15606.903225806451</v>
      </c>
      <c r="C146">
        <f t="shared" si="20"/>
        <v>9.655468609831745</v>
      </c>
      <c r="D146">
        <f t="shared" si="22"/>
        <v>6.4571604348397926E-3</v>
      </c>
      <c r="E146" t="str">
        <f t="shared" si="21"/>
        <v>2024Q1</v>
      </c>
      <c r="F146">
        <f t="shared" ref="F146:F166" ca="1" si="24">IF(ROW()&gt;4,_xlfn.STDEV.S(OFFSET(D146,-2,0,3,1)),NA())</f>
        <v>8.0891155873889908E-3</v>
      </c>
      <c r="G146">
        <f t="shared" ca="1" si="23"/>
        <v>1.4310447591418514E-2</v>
      </c>
    </row>
    <row r="147" spans="1:7" x14ac:dyDescent="0.25">
      <c r="A147" t="s">
        <v>4285</v>
      </c>
      <c r="B147" s="1">
        <f>AVERAGE(Daily_FX!B4416:B4444)</f>
        <v>15668.931034482759</v>
      </c>
      <c r="C147">
        <f t="shared" si="20"/>
        <v>9.6594351156959579</v>
      </c>
      <c r="D147">
        <f t="shared" si="22"/>
        <v>3.966505864212877E-3</v>
      </c>
      <c r="E147" t="str">
        <f t="shared" si="21"/>
        <v>2024Q1</v>
      </c>
      <c r="F147">
        <f t="shared" ca="1" si="24"/>
        <v>7.7883594912255246E-3</v>
      </c>
      <c r="G147">
        <f t="shared" ca="1" si="23"/>
        <v>1.3927624505191959E-2</v>
      </c>
    </row>
    <row r="148" spans="1:7" x14ac:dyDescent="0.25">
      <c r="A148" t="s">
        <v>4315</v>
      </c>
      <c r="B148" s="1">
        <f>AVERAGE(Daily_FX!B4445:B4475)</f>
        <v>15700.032258064517</v>
      </c>
      <c r="C148">
        <f t="shared" si="20"/>
        <v>9.6614180459880803</v>
      </c>
      <c r="D148">
        <f t="shared" si="22"/>
        <v>1.9829302921223757E-3</v>
      </c>
      <c r="E148" t="str">
        <f t="shared" si="21"/>
        <v>2024Q1</v>
      </c>
      <c r="F148">
        <f t="shared" ca="1" si="24"/>
        <v>2.2418990317132183E-3</v>
      </c>
      <c r="G148">
        <f t="shared" ca="1" si="23"/>
        <v>1.367404273516448E-2</v>
      </c>
    </row>
    <row r="149" spans="1:7" x14ac:dyDescent="0.25">
      <c r="A149" t="s">
        <v>4347</v>
      </c>
      <c r="B149" s="1">
        <f>AVERAGE(Daily_FX!B4476:B4505)</f>
        <v>16048</v>
      </c>
      <c r="C149">
        <f t="shared" si="20"/>
        <v>9.6833395102017175</v>
      </c>
      <c r="D149">
        <f t="shared" si="22"/>
        <v>2.1921464213637165E-2</v>
      </c>
      <c r="E149" t="str">
        <f t="shared" si="21"/>
        <v>2024Q2</v>
      </c>
      <c r="F149">
        <f t="shared" ca="1" si="24"/>
        <v>1.0983777707139675E-2</v>
      </c>
      <c r="G149">
        <f t="shared" ca="1" si="23"/>
        <v>1.0193223419614346E-2</v>
      </c>
    </row>
    <row r="150" spans="1:7" x14ac:dyDescent="0.25">
      <c r="A150" t="s">
        <v>4379</v>
      </c>
      <c r="B150" s="1">
        <f>AVERAGE(Daily_FX!B4506:B4536)</f>
        <v>16076.258064516129</v>
      </c>
      <c r="C150">
        <f t="shared" si="20"/>
        <v>9.6850988082217935</v>
      </c>
      <c r="D150">
        <f t="shared" si="22"/>
        <v>1.7592980200760167E-3</v>
      </c>
      <c r="E150" t="str">
        <f t="shared" si="21"/>
        <v>2024Q2</v>
      </c>
      <c r="F150">
        <f t="shared" ca="1" si="24"/>
        <v>1.1576615020155048E-2</v>
      </c>
      <c r="G150">
        <f t="shared" ca="1" si="23"/>
        <v>9.9163527506664281E-3</v>
      </c>
    </row>
    <row r="151" spans="1:7" x14ac:dyDescent="0.25">
      <c r="A151" t="s">
        <v>4411</v>
      </c>
      <c r="B151" s="1">
        <f>AVERAGE(Daily_FX!B4537:B4566)</f>
        <v>16327.3</v>
      </c>
      <c r="C151">
        <f t="shared" si="20"/>
        <v>9.7005938324290906</v>
      </c>
      <c r="D151">
        <f t="shared" si="22"/>
        <v>1.5495024207297092E-2</v>
      </c>
      <c r="E151" t="str">
        <f t="shared" si="21"/>
        <v>2024Q2</v>
      </c>
      <c r="F151">
        <f t="shared" ca="1" si="24"/>
        <v>1.029953276175008E-2</v>
      </c>
      <c r="G151">
        <f t="shared" ca="1" si="23"/>
        <v>1.0208087786747444E-2</v>
      </c>
    </row>
    <row r="152" spans="1:7" x14ac:dyDescent="0.25">
      <c r="A152" t="s">
        <v>4442</v>
      </c>
      <c r="B152" s="1">
        <f>AVERAGE(Daily_FX!B4567:B4597)</f>
        <v>16256.645161290322</v>
      </c>
      <c r="C152">
        <f t="shared" si="20"/>
        <v>9.6962570371700529</v>
      </c>
      <c r="D152">
        <f t="shared" si="22"/>
        <v>-4.3367952590376291E-3</v>
      </c>
      <c r="E152" t="str">
        <f t="shared" si="21"/>
        <v>2024Q3</v>
      </c>
      <c r="F152">
        <f t="shared" ca="1" si="24"/>
        <v>1.0158195299881915E-2</v>
      </c>
      <c r="G152">
        <f t="shared" ca="1" si="23"/>
        <v>1.0754533631801875E-2</v>
      </c>
    </row>
    <row r="153" spans="1:7" x14ac:dyDescent="0.25">
      <c r="A153" t="s">
        <v>4475</v>
      </c>
      <c r="B153" s="1">
        <f>AVERAGE(Daily_FX!B4598:B4628)</f>
        <v>15799.387096774193</v>
      </c>
      <c r="C153">
        <f t="shared" si="20"/>
        <v>9.6677264269192484</v>
      </c>
      <c r="D153">
        <f t="shared" si="22"/>
        <v>-2.85306102508045E-2</v>
      </c>
      <c r="E153" t="str">
        <f t="shared" si="21"/>
        <v>2024Q3</v>
      </c>
      <c r="F153">
        <f t="shared" ca="1" si="24"/>
        <v>2.2048802827060395E-2</v>
      </c>
      <c r="G153">
        <f t="shared" ca="1" si="23"/>
        <v>1.442060157567168E-2</v>
      </c>
    </row>
    <row r="154" spans="1:7" x14ac:dyDescent="0.25">
      <c r="A154" t="s">
        <v>4507</v>
      </c>
      <c r="B154" s="1">
        <f>AVERAGE(Daily_FX!B4629:B4658)</f>
        <v>15341.1</v>
      </c>
      <c r="C154">
        <f t="shared" si="20"/>
        <v>9.6382907803034179</v>
      </c>
      <c r="D154">
        <f t="shared" si="22"/>
        <v>-2.9435646615830535E-2</v>
      </c>
      <c r="E154" t="str">
        <f t="shared" si="21"/>
        <v>2024Q3</v>
      </c>
      <c r="F154">
        <f t="shared" ca="1" si="24"/>
        <v>1.4236760598934532E-2</v>
      </c>
      <c r="G154">
        <f t="shared" ca="1" si="23"/>
        <v>1.7075840654729682E-2</v>
      </c>
    </row>
    <row r="155" spans="1:7" x14ac:dyDescent="0.25">
      <c r="A155" t="s">
        <v>4538</v>
      </c>
      <c r="B155" s="1">
        <f>AVERAGE(Daily_FX!B4659:B4689)</f>
        <v>15541.064516129032</v>
      </c>
      <c r="C155">
        <f t="shared" si="20"/>
        <v>9.6512411232569111</v>
      </c>
      <c r="D155">
        <f t="shared" si="22"/>
        <v>1.2950342953493177E-2</v>
      </c>
      <c r="E155" t="str">
        <f t="shared" si="21"/>
        <v>2024Q4</v>
      </c>
      <c r="F155">
        <f t="shared" ca="1" si="24"/>
        <v>2.421452966481754E-2</v>
      </c>
      <c r="G155">
        <f t="shared" ca="1" si="23"/>
        <v>1.5817428164725592E-2</v>
      </c>
    </row>
    <row r="156" spans="1:7" x14ac:dyDescent="0.25">
      <c r="A156" t="s">
        <v>4571</v>
      </c>
      <c r="B156" s="1">
        <f>AVERAGE(Daily_FX!B4690:B4719)</f>
        <v>15818.3</v>
      </c>
      <c r="C156">
        <f t="shared" si="20"/>
        <v>9.6689227766347532</v>
      </c>
      <c r="D156">
        <f t="shared" si="22"/>
        <v>1.768165337784211E-2</v>
      </c>
      <c r="E156" t="str">
        <f t="shared" si="21"/>
        <v>2024Q4</v>
      </c>
      <c r="F156">
        <f t="shared" ca="1" si="24"/>
        <v>2.5945447156152192E-2</v>
      </c>
      <c r="G156">
        <f t="shared" ca="1" si="23"/>
        <v>1.6566065278434069E-2</v>
      </c>
    </row>
    <row r="157" spans="1:7" x14ac:dyDescent="0.25">
      <c r="A157" t="s">
        <v>4602</v>
      </c>
      <c r="B157" s="1">
        <f>AVERAGE(Daily_FX!B4720:B4750)</f>
        <v>16041.41935483871</v>
      </c>
      <c r="C157">
        <f t="shared" si="20"/>
        <v>9.6829293659619111</v>
      </c>
      <c r="D157">
        <f t="shared" si="22"/>
        <v>1.4006589327157926E-2</v>
      </c>
      <c r="E157" t="str">
        <f t="shared" si="21"/>
        <v>2024Q4</v>
      </c>
      <c r="F157">
        <f t="shared" ca="1" si="24"/>
        <v>2.4835139926477853E-3</v>
      </c>
      <c r="G157">
        <f t="shared" ca="1" si="23"/>
        <v>1.6692487271202882E-2</v>
      </c>
    </row>
    <row r="158" spans="1:7" x14ac:dyDescent="0.25">
      <c r="A158" t="s">
        <v>4634</v>
      </c>
      <c r="B158" s="1">
        <f>AVERAGE(Daily_FX!B4751:B4781)</f>
        <v>16265.290322580646</v>
      </c>
      <c r="C158">
        <f t="shared" si="20"/>
        <v>9.6967886882766265</v>
      </c>
      <c r="D158">
        <f t="shared" si="22"/>
        <v>1.3859322314715428E-2</v>
      </c>
      <c r="E158" t="str">
        <f t="shared" si="21"/>
        <v>2025Q1</v>
      </c>
      <c r="F158">
        <f t="shared" ca="1" si="24"/>
        <v>2.1655637489934785E-3</v>
      </c>
      <c r="G158">
        <f t="shared" ca="1" si="23"/>
        <v>1.6973257094132849E-2</v>
      </c>
    </row>
    <row r="159" spans="1:7" x14ac:dyDescent="0.25">
      <c r="A159" t="s">
        <v>4667</v>
      </c>
      <c r="B159" s="1">
        <f>AVERAGE(Daily_FX!B4782:B4809)</f>
        <v>16334.071428571429</v>
      </c>
      <c r="C159">
        <f t="shared" si="20"/>
        <v>9.7010084769080116</v>
      </c>
      <c r="D159">
        <f t="shared" si="22"/>
        <v>4.2197886313850574E-3</v>
      </c>
      <c r="E159" t="str">
        <f t="shared" si="21"/>
        <v>2025Q1</v>
      </c>
      <c r="F159">
        <f t="shared" ca="1" si="24"/>
        <v>5.608383086413214E-3</v>
      </c>
      <c r="G159">
        <f t="shared" ca="1" si="23"/>
        <v>1.6974124275782636E-2</v>
      </c>
    </row>
    <row r="160" spans="1:7" x14ac:dyDescent="0.25">
      <c r="A160" t="s">
        <v>4696</v>
      </c>
      <c r="B160" s="1">
        <f>AVERAGE(Daily_FX!B4810:B4840)</f>
        <v>16462.225806451614</v>
      </c>
      <c r="C160">
        <f t="shared" si="20"/>
        <v>9.7088236902682805</v>
      </c>
      <c r="D160">
        <f t="shared" si="22"/>
        <v>7.8152133602689133E-3</v>
      </c>
      <c r="E160" t="str">
        <f t="shared" si="21"/>
        <v>2025Q1</v>
      </c>
      <c r="F160">
        <f t="shared" ca="1" si="24"/>
        <v>4.8713266787455854E-3</v>
      </c>
      <c r="G160">
        <f t="shared" ca="1" si="23"/>
        <v>1.7011305053762641E-2</v>
      </c>
    </row>
    <row r="161" spans="1:7" x14ac:dyDescent="0.25">
      <c r="A161" t="s">
        <v>4728</v>
      </c>
      <c r="B161" s="1">
        <f>AVERAGE(Daily_FX!B4841:B4870)</f>
        <v>16769.900000000001</v>
      </c>
      <c r="C161">
        <f t="shared" si="20"/>
        <v>9.7273408917702575</v>
      </c>
      <c r="D161">
        <f t="shared" si="22"/>
        <v>1.8517201501976999E-2</v>
      </c>
      <c r="E161" t="str">
        <f t="shared" si="21"/>
        <v>2025Q2</v>
      </c>
      <c r="F161">
        <f t="shared" ca="1" si="24"/>
        <v>7.4372446057942966E-3</v>
      </c>
      <c r="G161">
        <f t="shared" ca="1" si="23"/>
        <v>1.6710086180133307E-2</v>
      </c>
    </row>
    <row r="162" spans="1:7" x14ac:dyDescent="0.25">
      <c r="A162" t="s">
        <v>4760</v>
      </c>
      <c r="B162" s="1">
        <f>AVERAGE(Daily_FX!B4871:B4901)</f>
        <v>16454.387096774193</v>
      </c>
      <c r="C162">
        <f t="shared" si="20"/>
        <v>9.7083474134503316</v>
      </c>
      <c r="D162">
        <f t="shared" si="22"/>
        <v>-1.8993478319925927E-2</v>
      </c>
      <c r="E162" t="str">
        <f t="shared" si="21"/>
        <v>2025Q2</v>
      </c>
      <c r="F162">
        <f t="shared" ca="1" si="24"/>
        <v>1.9323084641995454E-2</v>
      </c>
      <c r="G162">
        <f t="shared" ca="1" si="23"/>
        <v>1.7953110303739667E-2</v>
      </c>
    </row>
    <row r="163" spans="1:7" x14ac:dyDescent="0.25">
      <c r="A163" t="s">
        <v>4792</v>
      </c>
      <c r="B163" s="1">
        <f>AVERAGE(Daily_FX!B4902:B4931)</f>
        <v>16305.7</v>
      </c>
      <c r="C163">
        <f t="shared" si="20"/>
        <v>9.6992700189179519</v>
      </c>
      <c r="D163">
        <f t="shared" si="22"/>
        <v>-9.0773945323796568E-3</v>
      </c>
      <c r="E163" t="str">
        <f t="shared" si="21"/>
        <v>2025Q2</v>
      </c>
      <c r="F163">
        <f t="shared" ca="1" si="24"/>
        <v>1.9437256102145205E-2</v>
      </c>
      <c r="G163">
        <f t="shared" ca="1" si="23"/>
        <v>1.7665206202411191E-2</v>
      </c>
    </row>
    <row r="164" spans="1:7" x14ac:dyDescent="0.25">
      <c r="A164" t="s">
        <v>4823</v>
      </c>
      <c r="B164" s="1">
        <f>AVERAGE(Daily_FX!B4932:B4962)</f>
        <v>16272.258064516129</v>
      </c>
      <c r="C164">
        <f t="shared" si="20"/>
        <v>9.6972169775846648</v>
      </c>
      <c r="D164">
        <f t="shared" si="22"/>
        <v>-2.0530413332870978E-3</v>
      </c>
      <c r="E164" t="str">
        <f t="shared" si="21"/>
        <v>2025Q3</v>
      </c>
      <c r="F164">
        <f t="shared" ca="1" si="24"/>
        <v>8.5112539307820832E-3</v>
      </c>
      <c r="G164">
        <f t="shared" ca="1" si="23"/>
        <v>1.7627795838148424E-2</v>
      </c>
    </row>
    <row r="165" spans="1:7" x14ac:dyDescent="0.25">
      <c r="A165" t="s">
        <v>4856</v>
      </c>
      <c r="B165" s="1">
        <f>AVERAGE(Daily_FX!B4963:B4993)</f>
        <v>16300.741935483871</v>
      </c>
      <c r="C165">
        <f t="shared" si="20"/>
        <v>9.6989659032733115</v>
      </c>
      <c r="D165">
        <f t="shared" si="22"/>
        <v>1.7489256886467075E-3</v>
      </c>
      <c r="E165" t="str">
        <f t="shared" si="21"/>
        <v>2025Q3</v>
      </c>
      <c r="F165">
        <f t="shared" ca="1" si="24"/>
        <v>5.4925055094749856E-3</v>
      </c>
      <c r="G165">
        <f t="shared" ca="1" si="23"/>
        <v>1.5153593784875716E-2</v>
      </c>
    </row>
    <row r="166" spans="1:7" x14ac:dyDescent="0.25">
      <c r="A166" t="s">
        <v>4888</v>
      </c>
      <c r="B166" s="1">
        <f>AVERAGE(Daily_FX!B4994:B5023)</f>
        <v>16515.466666666667</v>
      </c>
      <c r="C166">
        <f t="shared" si="20"/>
        <v>9.7120525945656375</v>
      </c>
      <c r="D166">
        <f t="shared" si="22"/>
        <v>1.308669129232598E-2</v>
      </c>
      <c r="E166" t="str">
        <f t="shared" si="21"/>
        <v>2025Q3</v>
      </c>
      <c r="F166">
        <f t="shared" ca="1" si="24"/>
        <v>7.8762447280297451E-3</v>
      </c>
      <c r="G166">
        <f t="shared" ca="1" si="23"/>
        <v>1.1515501875236539E-2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2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4" width="22" customWidth="1"/>
  </cols>
  <sheetData>
    <row r="1" spans="1:4" x14ac:dyDescent="0.25">
      <c r="A1" t="s">
        <v>0</v>
      </c>
      <c r="B1" t="s">
        <v>4922</v>
      </c>
      <c r="C1" t="s">
        <v>4923</v>
      </c>
      <c r="D1" t="s">
        <v>4924</v>
      </c>
    </row>
    <row r="2" spans="1:4" x14ac:dyDescent="0.25">
      <c r="A2" t="s">
        <v>17</v>
      </c>
      <c r="B2">
        <f ca="1">IFERROR(LOOKUP(2,1/(Monthly_FX!$E:$E=A2),Monthly_FX!$F:$F),NA())</f>
        <v>1.0576187673559186E-3</v>
      </c>
      <c r="C2">
        <f ca="1">IFERROR(LOOKUP(2,1/(Monthly_FX!$E:$E=A2),Monthly_FX!$G:$G),NA())</f>
        <v>5.0450092476131891E-3</v>
      </c>
      <c r="D2">
        <f>IFERROR(LOOKUP(2,1/(Monthly_FX!$E:$E=A2),Monthly_FX!$B:$B),NA())</f>
        <v>9707.8064516129034</v>
      </c>
    </row>
    <row r="3" spans="1:4" x14ac:dyDescent="0.25">
      <c r="A3" t="s">
        <v>18</v>
      </c>
      <c r="B3">
        <f ca="1">IFERROR(LOOKUP(2,1/(Monthly_FX!$E:$E=A3),Monthly_FX!$F:$F),NA())</f>
        <v>5.5437984891696752E-3</v>
      </c>
      <c r="C3">
        <f ca="1">IFERROR(LOOKUP(2,1/(Monthly_FX!$E:$E=A3),Monthly_FX!$G:$G),NA())</f>
        <v>3.1361245381436261E-3</v>
      </c>
      <c r="D3">
        <f>IFERROR(LOOKUP(2,1/(Monthly_FX!$E:$E=A3),Monthly_FX!$B:$B),NA())</f>
        <v>9876.3333333333339</v>
      </c>
    </row>
    <row r="4" spans="1:4" x14ac:dyDescent="0.25">
      <c r="A4" t="s">
        <v>19</v>
      </c>
      <c r="B4">
        <f ca="1">IFERROR(LOOKUP(2,1/(Monthly_FX!$E:$E=A4),Monthly_FX!$F:$F),NA())</f>
        <v>2.7955215756898185E-2</v>
      </c>
      <c r="C4">
        <f ca="1">IFERROR(LOOKUP(2,1/(Monthly_FX!$E:$E=A4),Monthly_FX!$G:$G),NA())</f>
        <v>2.2795677426872121E-2</v>
      </c>
      <c r="D4">
        <f>IFERROR(LOOKUP(2,1/(Monthly_FX!$E:$E=A4),Monthly_FX!$B:$B),NA())</f>
        <v>11338.433333333332</v>
      </c>
    </row>
    <row r="5" spans="1:4" x14ac:dyDescent="0.25">
      <c r="A5" t="s">
        <v>20</v>
      </c>
      <c r="B5">
        <f ca="1">IFERROR(LOOKUP(2,1/(Monthly_FX!$E:$E=A5),Monthly_FX!$F:$F),NA())</f>
        <v>2.0331594081221538E-2</v>
      </c>
      <c r="C5">
        <f ca="1">IFERROR(LOOKUP(2,1/(Monthly_FX!$E:$E=A5),Monthly_FX!$G:$G),NA())</f>
        <v>2.3472672722799463E-2</v>
      </c>
      <c r="D5">
        <f>IFERROR(LOOKUP(2,1/(Monthly_FX!$E:$E=A5),Monthly_FX!$B:$B),NA())</f>
        <v>12104.548387096775</v>
      </c>
    </row>
    <row r="6" spans="1:4" x14ac:dyDescent="0.25">
      <c r="A6" t="s">
        <v>21</v>
      </c>
      <c r="B6">
        <f ca="1">IFERROR(LOOKUP(2,1/(Monthly_FX!$E:$E=A6),Monthly_FX!$F:$F),NA())</f>
        <v>2.5398804067607954E-2</v>
      </c>
      <c r="C6">
        <f ca="1">IFERROR(LOOKUP(2,1/(Monthly_FX!$E:$E=A6),Monthly_FX!$G:$G),NA())</f>
        <v>3.0833376987334508E-2</v>
      </c>
      <c r="D6">
        <f>IFERROR(LOOKUP(2,1/(Monthly_FX!$E:$E=A6),Monthly_FX!$B:$B),NA())</f>
        <v>11435.967741935483</v>
      </c>
    </row>
    <row r="7" spans="1:4" x14ac:dyDescent="0.25">
      <c r="A7" t="s">
        <v>22</v>
      </c>
      <c r="B7">
        <f ca="1">IFERROR(LOOKUP(2,1/(Monthly_FX!$E:$E=A7),Monthly_FX!$F:$F),NA())</f>
        <v>1.5866794226396815E-2</v>
      </c>
      <c r="C7">
        <f ca="1">IFERROR(LOOKUP(2,1/(Monthly_FX!$E:$E=A7),Monthly_FX!$G:$G),NA())</f>
        <v>3.1150248839173725E-2</v>
      </c>
      <c r="D7">
        <f>IFERROR(LOOKUP(2,1/(Monthly_FX!$E:$E=A7),Monthly_FX!$B:$B),NA())</f>
        <v>11890.133333333333</v>
      </c>
    </row>
    <row r="8" spans="1:4" x14ac:dyDescent="0.25">
      <c r="A8" t="s">
        <v>23</v>
      </c>
      <c r="B8">
        <f ca="1">IFERROR(LOOKUP(2,1/(Monthly_FX!$E:$E=A8),Monthly_FX!$F:$F),NA())</f>
        <v>1.7916165504047274E-2</v>
      </c>
      <c r="C8">
        <f ca="1">IFERROR(LOOKUP(2,1/(Monthly_FX!$E:$E=A8),Monthly_FX!$G:$G),NA())</f>
        <v>2.3508690382733077E-2</v>
      </c>
      <c r="D8">
        <f>IFERROR(LOOKUP(2,1/(Monthly_FX!$E:$E=A8),Monthly_FX!$B:$B),NA())</f>
        <v>11892.766666666666</v>
      </c>
    </row>
    <row r="9" spans="1:4" x14ac:dyDescent="0.25">
      <c r="A9" t="s">
        <v>24</v>
      </c>
      <c r="B9">
        <f ca="1">IFERROR(LOOKUP(2,1/(Monthly_FX!$E:$E=A9),Monthly_FX!$F:$F),NA())</f>
        <v>1.2220506311953299E-2</v>
      </c>
      <c r="C9">
        <f ca="1">IFERROR(LOOKUP(2,1/(Monthly_FX!$E:$E=A9),Monthly_FX!$G:$G),NA())</f>
        <v>2.1151016328550241E-2</v>
      </c>
      <c r="D9">
        <f>IFERROR(LOOKUP(2,1/(Monthly_FX!$E:$E=A9),Monthly_FX!$B:$B),NA())</f>
        <v>12436.387096774193</v>
      </c>
    </row>
    <row r="10" spans="1:4" x14ac:dyDescent="0.25">
      <c r="A10" t="s">
        <v>25</v>
      </c>
      <c r="B10">
        <f ca="1">IFERROR(LOOKUP(2,1/(Monthly_FX!$E:$E=A10),Monthly_FX!$F:$F),NA())</f>
        <v>7.1444446050743871E-3</v>
      </c>
      <c r="C10">
        <f ca="1">IFERROR(LOOKUP(2,1/(Monthly_FX!$E:$E=A10),Monthly_FX!$G:$G),NA())</f>
        <v>1.364775281743236E-2</v>
      </c>
      <c r="D10">
        <f>IFERROR(LOOKUP(2,1/(Monthly_FX!$E:$E=A10),Monthly_FX!$B:$B),NA())</f>
        <v>13063.193548387097</v>
      </c>
    </row>
    <row r="11" spans="1:4" x14ac:dyDescent="0.25">
      <c r="A11" t="s">
        <v>26</v>
      </c>
      <c r="B11">
        <f ca="1">IFERROR(LOOKUP(2,1/(Monthly_FX!$E:$E=A11),Monthly_FX!$F:$F),NA())</f>
        <v>1.3347354817636582E-2</v>
      </c>
      <c r="C11">
        <f ca="1">IFERROR(LOOKUP(2,1/(Monthly_FX!$E:$E=A11),Monthly_FX!$G:$G),NA())</f>
        <v>1.3234297856915711E-2</v>
      </c>
      <c r="D11">
        <f>IFERROR(LOOKUP(2,1/(Monthly_FX!$E:$E=A11),Monthly_FX!$B:$B),NA())</f>
        <v>13311.4</v>
      </c>
    </row>
    <row r="12" spans="1:4" x14ac:dyDescent="0.25">
      <c r="A12" t="s">
        <v>27</v>
      </c>
      <c r="B12">
        <f ca="1">IFERROR(LOOKUP(2,1/(Monthly_FX!$E:$E=A12),Monthly_FX!$F:$F),NA())</f>
        <v>2.1039598772007007E-2</v>
      </c>
      <c r="C12">
        <f ca="1">IFERROR(LOOKUP(2,1/(Monthly_FX!$E:$E=A12),Monthly_FX!$G:$G),NA())</f>
        <v>1.4310775489959099E-2</v>
      </c>
      <c r="D12">
        <f>IFERROR(LOOKUP(2,1/(Monthly_FX!$E:$E=A12),Monthly_FX!$B:$B),NA())</f>
        <v>14407.166666666666</v>
      </c>
    </row>
    <row r="13" spans="1:4" x14ac:dyDescent="0.25">
      <c r="A13" t="s">
        <v>28</v>
      </c>
      <c r="B13">
        <f ca="1">IFERROR(LOOKUP(2,1/(Monthly_FX!$E:$E=A13),Monthly_FX!$F:$F),NA())</f>
        <v>2.854949054610062E-2</v>
      </c>
      <c r="C13">
        <f ca="1">IFERROR(LOOKUP(2,1/(Monthly_FX!$E:$E=A13),Monthly_FX!$G:$G),NA())</f>
        <v>2.2481700308357343E-2</v>
      </c>
      <c r="D13">
        <f>IFERROR(LOOKUP(2,1/(Monthly_FX!$E:$E=A13),Monthly_FX!$B:$B),NA())</f>
        <v>13842.741935483871</v>
      </c>
    </row>
    <row r="14" spans="1:4" x14ac:dyDescent="0.25">
      <c r="A14" t="s">
        <v>29</v>
      </c>
      <c r="B14">
        <f ca="1">IFERROR(LOOKUP(2,1/(Monthly_FX!$E:$E=A14),Monthly_FX!$F:$F),NA())</f>
        <v>1.6221471724582298E-2</v>
      </c>
      <c r="C14">
        <f ca="1">IFERROR(LOOKUP(2,1/(Monthly_FX!$E:$E=A14),Monthly_FX!$G:$G),NA())</f>
        <v>2.5108796615220329E-2</v>
      </c>
      <c r="D14">
        <f>IFERROR(LOOKUP(2,1/(Monthly_FX!$E:$E=A14),Monthly_FX!$B:$B),NA())</f>
        <v>13178.129032258064</v>
      </c>
    </row>
    <row r="15" spans="1:4" x14ac:dyDescent="0.25">
      <c r="A15" t="s">
        <v>30</v>
      </c>
      <c r="B15">
        <f ca="1">IFERROR(LOOKUP(2,1/(Monthly_FX!$E:$E=A15),Monthly_FX!$F:$F),NA())</f>
        <v>1.0596592658803501E-2</v>
      </c>
      <c r="C15">
        <f ca="1">IFERROR(LOOKUP(2,1/(Monthly_FX!$E:$E=A15),Monthly_FX!$G:$G),NA())</f>
        <v>2.4783657358835896E-2</v>
      </c>
      <c r="D15">
        <f>IFERROR(LOOKUP(2,1/(Monthly_FX!$E:$E=A15),Monthly_FX!$B:$B),NA())</f>
        <v>13365.366666666667</v>
      </c>
    </row>
    <row r="16" spans="1:4" x14ac:dyDescent="0.25">
      <c r="A16" t="s">
        <v>31</v>
      </c>
      <c r="B16">
        <f ca="1">IFERROR(LOOKUP(2,1/(Monthly_FX!$E:$E=A16),Monthly_FX!$F:$F),NA())</f>
        <v>1.0590068270892669E-2</v>
      </c>
      <c r="C16">
        <f ca="1">IFERROR(LOOKUP(2,1/(Monthly_FX!$E:$E=A16),Monthly_FX!$G:$G),NA())</f>
        <v>1.7572300399690727E-2</v>
      </c>
      <c r="D16">
        <f>IFERROR(LOOKUP(2,1/(Monthly_FX!$E:$E=A16),Monthly_FX!$B:$B),NA())</f>
        <v>13124.333333333334</v>
      </c>
    </row>
    <row r="17" spans="1:4" x14ac:dyDescent="0.25">
      <c r="A17" t="s">
        <v>32</v>
      </c>
      <c r="B17">
        <f ca="1">IFERROR(LOOKUP(2,1/(Monthly_FX!$E:$E=A17),Monthly_FX!$F:$F),NA())</f>
        <v>1.5566528354197685E-2</v>
      </c>
      <c r="C17">
        <f ca="1">IFERROR(LOOKUP(2,1/(Monthly_FX!$E:$E=A17),Monthly_FX!$G:$G),NA())</f>
        <v>1.5172456220685748E-2</v>
      </c>
      <c r="D17">
        <f>IFERROR(LOOKUP(2,1/(Monthly_FX!$E:$E=A17),Monthly_FX!$B:$B),NA())</f>
        <v>13422.322580645161</v>
      </c>
    </row>
    <row r="18" spans="1:4" x14ac:dyDescent="0.25">
      <c r="A18" t="s">
        <v>1585</v>
      </c>
      <c r="B18">
        <f ca="1">IFERROR(LOOKUP(2,1/(Monthly_FX!$E:$E=A18),Monthly_FX!$F:$F),NA())</f>
        <v>2.6280928795367896E-3</v>
      </c>
      <c r="C18">
        <f ca="1">IFERROR(LOOKUP(2,1/(Monthly_FX!$E:$E=A18),Monthly_FX!$G:$G),NA())</f>
        <v>1.0823469454577029E-2</v>
      </c>
      <c r="D18">
        <f>IFERROR(LOOKUP(2,1/(Monthly_FX!$E:$E=A18),Monthly_FX!$B:$B),NA())</f>
        <v>13348.161290322581</v>
      </c>
    </row>
    <row r="19" spans="1:4" x14ac:dyDescent="0.25">
      <c r="A19" t="s">
        <v>1679</v>
      </c>
      <c r="B19">
        <f ca="1">IFERROR(LOOKUP(2,1/(Monthly_FX!$E:$E=A19),Monthly_FX!$F:$F),NA())</f>
        <v>2.4352778439659726E-3</v>
      </c>
      <c r="C19">
        <f ca="1">IFERROR(LOOKUP(2,1/(Monthly_FX!$E:$E=A19),Monthly_FX!$G:$G),NA())</f>
        <v>9.6536562147146662E-3</v>
      </c>
      <c r="D19">
        <f>IFERROR(LOOKUP(2,1/(Monthly_FX!$E:$E=A19),Monthly_FX!$B:$B),NA())</f>
        <v>13304.266666666666</v>
      </c>
    </row>
    <row r="20" spans="1:4" x14ac:dyDescent="0.25">
      <c r="A20" t="s">
        <v>1774</v>
      </c>
      <c r="B20">
        <f ca="1">IFERROR(LOOKUP(2,1/(Monthly_FX!$E:$E=A20),Monthly_FX!$F:$F),NA())</f>
        <v>2.7343213940714622E-3</v>
      </c>
      <c r="C20">
        <f ca="1">IFERROR(LOOKUP(2,1/(Monthly_FX!$E:$E=A20),Monthly_FX!$G:$G),NA())</f>
        <v>7.9237207214523948E-3</v>
      </c>
      <c r="D20">
        <f>IFERROR(LOOKUP(2,1/(Monthly_FX!$E:$E=A20),Monthly_FX!$B:$B),NA())</f>
        <v>13310.7</v>
      </c>
    </row>
    <row r="21" spans="1:4" x14ac:dyDescent="0.25">
      <c r="A21" t="s">
        <v>1870</v>
      </c>
      <c r="B21">
        <f ca="1">IFERROR(LOOKUP(2,1/(Monthly_FX!$E:$E=A21),Monthly_FX!$F:$F),NA())</f>
        <v>8.8598612828376857E-3</v>
      </c>
      <c r="C21">
        <f ca="1">IFERROR(LOOKUP(2,1/(Monthly_FX!$E:$E=A21),Monthly_FX!$G:$G),NA())</f>
        <v>5.3285457502208243E-3</v>
      </c>
      <c r="D21">
        <f>IFERROR(LOOKUP(2,1/(Monthly_FX!$E:$E=A21),Monthly_FX!$B:$B),NA())</f>
        <v>13553.161290322581</v>
      </c>
    </row>
    <row r="22" spans="1:4" x14ac:dyDescent="0.25">
      <c r="A22" t="s">
        <v>1966</v>
      </c>
      <c r="B22">
        <f ca="1">IFERROR(LOOKUP(2,1/(Monthly_FX!$E:$E=A22),Monthly_FX!$F:$F),NA())</f>
        <v>1.5721415775899972E-2</v>
      </c>
      <c r="C22">
        <f ca="1">IFERROR(LOOKUP(2,1/(Monthly_FX!$E:$E=A22),Monthly_FX!$G:$G),NA())</f>
        <v>8.4773128924827273E-3</v>
      </c>
      <c r="D22">
        <f>IFERROR(LOOKUP(2,1/(Monthly_FX!$E:$E=A22),Monthly_FX!$B:$B),NA())</f>
        <v>13761.483870967742</v>
      </c>
    </row>
    <row r="23" spans="1:4" x14ac:dyDescent="0.25">
      <c r="A23" t="s">
        <v>2060</v>
      </c>
      <c r="B23">
        <f ca="1">IFERROR(LOOKUP(2,1/(Monthly_FX!$E:$E=A23),Monthly_FX!$F:$F),NA())</f>
        <v>1.1436433643257532E-2</v>
      </c>
      <c r="C23">
        <f ca="1">IFERROR(LOOKUP(2,1/(Monthly_FX!$E:$E=A23),Monthly_FX!$G:$G),NA())</f>
        <v>9.5152179225774357E-3</v>
      </c>
      <c r="D23">
        <f>IFERROR(LOOKUP(2,1/(Monthly_FX!$E:$E=A23),Monthly_FX!$B:$B),NA())</f>
        <v>13999.566666666668</v>
      </c>
    </row>
    <row r="24" spans="1:4" x14ac:dyDescent="0.25">
      <c r="A24" t="s">
        <v>2155</v>
      </c>
      <c r="B24">
        <f ca="1">IFERROR(LOOKUP(2,1/(Monthly_FX!$E:$E=A24),Monthly_FX!$F:$F),NA())</f>
        <v>1.005131291645101E-2</v>
      </c>
      <c r="C24">
        <f ca="1">IFERROR(LOOKUP(2,1/(Monthly_FX!$E:$E=A24),Monthly_FX!$G:$G),NA())</f>
        <v>1.1948408898133717E-2</v>
      </c>
      <c r="D24">
        <f>IFERROR(LOOKUP(2,1/(Monthly_FX!$E:$E=A24),Monthly_FX!$B:$B),NA())</f>
        <v>14856.9</v>
      </c>
    </row>
    <row r="25" spans="1:4" x14ac:dyDescent="0.25">
      <c r="A25" t="s">
        <v>2251</v>
      </c>
      <c r="B25">
        <f ca="1">IFERROR(LOOKUP(2,1/(Monthly_FX!$E:$E=A25),Monthly_FX!$F:$F),NA())</f>
        <v>2.7639911050687561E-2</v>
      </c>
      <c r="C25">
        <f ca="1">IFERROR(LOOKUP(2,1/(Monthly_FX!$E:$E=A25),Monthly_FX!$G:$G),NA())</f>
        <v>1.8265360956439481E-2</v>
      </c>
      <c r="D25">
        <f>IFERROR(LOOKUP(2,1/(Monthly_FX!$E:$E=A25),Monthly_FX!$B:$B),NA())</f>
        <v>14492.838709677419</v>
      </c>
    </row>
    <row r="26" spans="1:4" x14ac:dyDescent="0.25">
      <c r="A26" t="s">
        <v>2347</v>
      </c>
      <c r="B26">
        <f ca="1">IFERROR(LOOKUP(2,1/(Monthly_FX!$E:$E=A26),Monthly_FX!$F:$F),NA())</f>
        <v>1.7302249133317075E-2</v>
      </c>
      <c r="C26">
        <f ca="1">IFERROR(LOOKUP(2,1/(Monthly_FX!$E:$E=A26),Monthly_FX!$G:$G),NA())</f>
        <v>1.9348300709950614E-2</v>
      </c>
      <c r="D26">
        <f>IFERROR(LOOKUP(2,1/(Monthly_FX!$E:$E=A26),Monthly_FX!$B:$B),NA())</f>
        <v>14207.709677419354</v>
      </c>
    </row>
    <row r="27" spans="1:4" x14ac:dyDescent="0.25">
      <c r="A27" t="s">
        <v>2441</v>
      </c>
      <c r="B27">
        <f ca="1">IFERROR(LOOKUP(2,1/(Monthly_FX!$E:$E=A27),Monthly_FX!$F:$F),NA())</f>
        <v>1.4228262667648218E-2</v>
      </c>
      <c r="C27">
        <f ca="1">IFERROR(LOOKUP(2,1/(Monthly_FX!$E:$E=A27),Monthly_FX!$G:$G),NA())</f>
        <v>1.9595870021345479E-2</v>
      </c>
      <c r="D27">
        <f>IFERROR(LOOKUP(2,1/(Monthly_FX!$E:$E=A27),Monthly_FX!$B:$B),NA())</f>
        <v>14266.166666666666</v>
      </c>
    </row>
    <row r="28" spans="1:4" x14ac:dyDescent="0.25">
      <c r="A28" t="s">
        <v>2536</v>
      </c>
      <c r="B28">
        <f ca="1">IFERROR(LOOKUP(2,1/(Monthly_FX!$E:$E=A28),Monthly_FX!$F:$F),NA())</f>
        <v>1.5538739688710463E-2</v>
      </c>
      <c r="C28">
        <f ca="1">IFERROR(LOOKUP(2,1/(Monthly_FX!$E:$E=A28),Monthly_FX!$G:$G),NA())</f>
        <v>1.6990822593748053E-2</v>
      </c>
      <c r="D28">
        <f>IFERROR(LOOKUP(2,1/(Monthly_FX!$E:$E=A28),Monthly_FX!$B:$B),NA())</f>
        <v>14110.466666666667</v>
      </c>
    </row>
    <row r="29" spans="1:4" x14ac:dyDescent="0.25">
      <c r="A29" t="s">
        <v>2632</v>
      </c>
      <c r="B29">
        <f ca="1">IFERROR(LOOKUP(2,1/(Monthly_FX!$E:$E=A29),Monthly_FX!$F:$F),NA())</f>
        <v>2.5233543376391599E-3</v>
      </c>
      <c r="C29">
        <f ca="1">IFERROR(LOOKUP(2,1/(Monthly_FX!$E:$E=A29),Monthly_FX!$G:$G),NA())</f>
        <v>1.2053076589924808E-2</v>
      </c>
      <c r="D29">
        <f>IFERROR(LOOKUP(2,1/(Monthly_FX!$E:$E=A29),Monthly_FX!$B:$B),NA())</f>
        <v>14011.064516129032</v>
      </c>
    </row>
    <row r="30" spans="1:4" x14ac:dyDescent="0.25">
      <c r="A30" t="s">
        <v>2728</v>
      </c>
      <c r="B30">
        <f ca="1">IFERROR(LOOKUP(2,1/(Monthly_FX!$E:$E=A30),Monthly_FX!$F:$F),NA())</f>
        <v>6.5092058665502869E-2</v>
      </c>
      <c r="C30">
        <f ca="1">IFERROR(LOOKUP(2,1/(Monthly_FX!$E:$E=A30),Monthly_FX!$G:$G),NA())</f>
        <v>3.2240343918281011E-2</v>
      </c>
      <c r="D30">
        <f>IFERROR(LOOKUP(2,1/(Monthly_FX!$E:$E=A30),Monthly_FX!$B:$B),NA())</f>
        <v>15257.290322580646</v>
      </c>
    </row>
    <row r="31" spans="1:4" x14ac:dyDescent="0.25">
      <c r="A31" t="s">
        <v>2823</v>
      </c>
      <c r="B31">
        <f ca="1">IFERROR(LOOKUP(2,1/(Monthly_FX!$E:$E=A31),Monthly_FX!$F:$F),NA())</f>
        <v>5.6653235167898004E-2</v>
      </c>
      <c r="C31">
        <f ca="1">IFERROR(LOOKUP(2,1/(Monthly_FX!$E:$E=A31),Monthly_FX!$G:$G),NA())</f>
        <v>4.2131454627731255E-2</v>
      </c>
      <c r="D31">
        <f>IFERROR(LOOKUP(2,1/(Monthly_FX!$E:$E=A31),Monthly_FX!$B:$B),NA())</f>
        <v>14217.466666666667</v>
      </c>
    </row>
    <row r="32" spans="1:4" x14ac:dyDescent="0.25">
      <c r="A32" t="s">
        <v>2918</v>
      </c>
      <c r="B32">
        <f ca="1">IFERROR(LOOKUP(2,1/(Monthly_FX!$E:$E=A32),Monthly_FX!$F:$F),NA())</f>
        <v>9.9992228000916304E-3</v>
      </c>
      <c r="C32">
        <f ca="1">IFERROR(LOOKUP(2,1/(Monthly_FX!$E:$E=A32),Monthly_FX!$G:$G),NA())</f>
        <v>4.2237326916597782E-2</v>
      </c>
      <c r="D32">
        <f>IFERROR(LOOKUP(2,1/(Monthly_FX!$E:$E=A32),Monthly_FX!$B:$B),NA())</f>
        <v>14854.5</v>
      </c>
    </row>
    <row r="33" spans="1:4" x14ac:dyDescent="0.25">
      <c r="A33" t="s">
        <v>3014</v>
      </c>
      <c r="B33">
        <f ca="1">IFERROR(LOOKUP(2,1/(Monthly_FX!$E:$E=A33),Monthly_FX!$F:$F),NA())</f>
        <v>1.6706405472867621E-2</v>
      </c>
      <c r="C33">
        <f ca="1">IFERROR(LOOKUP(2,1/(Monthly_FX!$E:$E=A33),Monthly_FX!$G:$G),NA())</f>
        <v>4.3790615681962797E-2</v>
      </c>
      <c r="D33">
        <f>IFERROR(LOOKUP(2,1/(Monthly_FX!$E:$E=A33),Monthly_FX!$B:$B),NA())</f>
        <v>14174.354838709678</v>
      </c>
    </row>
    <row r="34" spans="1:4" x14ac:dyDescent="0.25">
      <c r="A34" t="s">
        <v>3110</v>
      </c>
      <c r="B34">
        <f ca="1">IFERROR(LOOKUP(2,1/(Monthly_FX!$E:$E=A34),Monthly_FX!$F:$F),NA())</f>
        <v>1.7306875182172037E-2</v>
      </c>
      <c r="C34">
        <f ca="1">IFERROR(LOOKUP(2,1/(Monthly_FX!$E:$E=A34),Monthly_FX!$G:$G),NA())</f>
        <v>3.109880032990903E-2</v>
      </c>
      <c r="D34">
        <f>IFERROR(LOOKUP(2,1/(Monthly_FX!$E:$E=A34),Monthly_FX!$B:$B),NA())</f>
        <v>14417.032258064517</v>
      </c>
    </row>
    <row r="35" spans="1:4" x14ac:dyDescent="0.25">
      <c r="A35" t="s">
        <v>3204</v>
      </c>
      <c r="B35">
        <f ca="1">IFERROR(LOOKUP(2,1/(Monthly_FX!$E:$E=A35),Monthly_FX!$F:$F),NA())</f>
        <v>1.3533995424048335E-2</v>
      </c>
      <c r="C35">
        <f ca="1">IFERROR(LOOKUP(2,1/(Monthly_FX!$E:$E=A35),Monthly_FX!$G:$G),NA())</f>
        <v>1.7037994397119761E-2</v>
      </c>
      <c r="D35">
        <f>IFERROR(LOOKUP(2,1/(Monthly_FX!$E:$E=A35),Monthly_FX!$B:$B),NA())</f>
        <v>14347.233333333334</v>
      </c>
    </row>
    <row r="36" spans="1:4" x14ac:dyDescent="0.25">
      <c r="A36" t="s">
        <v>3299</v>
      </c>
      <c r="B36">
        <f ca="1">IFERROR(LOOKUP(2,1/(Monthly_FX!$E:$E=A36),Monthly_FX!$F:$F),NA())</f>
        <v>1.1885437902769653E-2</v>
      </c>
      <c r="C36">
        <f ca="1">IFERROR(LOOKUP(2,1/(Monthly_FX!$E:$E=A36),Monthly_FX!$G:$G),NA())</f>
        <v>1.5119055796942575E-2</v>
      </c>
      <c r="D36">
        <f>IFERROR(LOOKUP(2,1/(Monthly_FX!$E:$E=A36),Monthly_FX!$B:$B),NA())</f>
        <v>14253.533333333333</v>
      </c>
    </row>
    <row r="37" spans="1:4" x14ac:dyDescent="0.25">
      <c r="A37" t="s">
        <v>3395</v>
      </c>
      <c r="B37">
        <f ca="1">IFERROR(LOOKUP(2,1/(Monthly_FX!$E:$E=A37),Monthly_FX!$F:$F),NA())</f>
        <v>5.6616314163928285E-3</v>
      </c>
      <c r="C37">
        <f ca="1">IFERROR(LOOKUP(2,1/(Monthly_FX!$E:$E=A37),Monthly_FX!$G:$G),NA())</f>
        <v>1.1401008040659062E-2</v>
      </c>
      <c r="D37">
        <f>IFERROR(LOOKUP(2,1/(Monthly_FX!$E:$E=A37),Monthly_FX!$B:$B),NA())</f>
        <v>14329.645161290322</v>
      </c>
    </row>
    <row r="38" spans="1:4" x14ac:dyDescent="0.25">
      <c r="A38" t="s">
        <v>3491</v>
      </c>
      <c r="B38">
        <f ca="1">IFERROR(LOOKUP(2,1/(Monthly_FX!$E:$E=A38),Monthly_FX!$F:$F),NA())</f>
        <v>8.5534841805775673E-4</v>
      </c>
      <c r="C38">
        <f ca="1">IFERROR(LOOKUP(2,1/(Monthly_FX!$E:$E=A38),Monthly_FX!$G:$G),NA())</f>
        <v>8.2275394039584421E-3</v>
      </c>
      <c r="D38">
        <f>IFERROR(LOOKUP(2,1/(Monthly_FX!$E:$E=A38),Monthly_FX!$B:$B),NA())</f>
        <v>14347.451612903225</v>
      </c>
    </row>
    <row r="39" spans="1:4" x14ac:dyDescent="0.25">
      <c r="A39" t="s">
        <v>3585</v>
      </c>
      <c r="B39">
        <f ca="1">IFERROR(LOOKUP(2,1/(Monthly_FX!$E:$E=A39),Monthly_FX!$F:$F),NA())</f>
        <v>6.0644969053109815E-3</v>
      </c>
      <c r="C39">
        <f ca="1">IFERROR(LOOKUP(2,1/(Monthly_FX!$E:$E=A39),Monthly_FX!$G:$G),NA())</f>
        <v>7.2912372533758376E-3</v>
      </c>
      <c r="D39">
        <f>IFERROR(LOOKUP(2,1/(Monthly_FX!$E:$E=A39),Monthly_FX!$B:$B),NA())</f>
        <v>14689.666666666666</v>
      </c>
    </row>
    <row r="40" spans="1:4" x14ac:dyDescent="0.25">
      <c r="A40" t="s">
        <v>3680</v>
      </c>
      <c r="B40">
        <f ca="1">IFERROR(LOOKUP(2,1/(Monthly_FX!$E:$E=A40),Monthly_FX!$F:$F),NA())</f>
        <v>1.4510642537920828E-2</v>
      </c>
      <c r="C40">
        <f ca="1">IFERROR(LOOKUP(2,1/(Monthly_FX!$E:$E=A40),Monthly_FX!$G:$G),NA())</f>
        <v>7.8339905381763237E-3</v>
      </c>
      <c r="D40">
        <f>IFERROR(LOOKUP(2,1/(Monthly_FX!$E:$E=A40),Monthly_FX!$B:$B),NA())</f>
        <v>14973.266666666666</v>
      </c>
    </row>
    <row r="41" spans="1:4" x14ac:dyDescent="0.25">
      <c r="A41" t="s">
        <v>3776</v>
      </c>
      <c r="B41">
        <f ca="1">IFERROR(LOOKUP(2,1/(Monthly_FX!$E:$E=A41),Monthly_FX!$F:$F),NA())</f>
        <v>1.7007483467781647E-2</v>
      </c>
      <c r="C41">
        <f ca="1">IFERROR(LOOKUP(2,1/(Monthly_FX!$E:$E=A41),Monthly_FX!$G:$G),NA())</f>
        <v>1.1026233514840255E-2</v>
      </c>
      <c r="D41">
        <f>IFERROR(LOOKUP(2,1/(Monthly_FX!$E:$E=A41),Monthly_FX!$B:$B),NA())</f>
        <v>15595.096774193549</v>
      </c>
    </row>
    <row r="42" spans="1:4" x14ac:dyDescent="0.25">
      <c r="A42" t="s">
        <v>3872</v>
      </c>
      <c r="B42">
        <f ca="1">IFERROR(LOOKUP(2,1/(Monthly_FX!$E:$E=A42),Monthly_FX!$F:$F),NA())</f>
        <v>1.6561981618009036E-2</v>
      </c>
      <c r="C42">
        <f ca="1">IFERROR(LOOKUP(2,1/(Monthly_FX!$E:$E=A42),Monthly_FX!$G:$G),NA())</f>
        <v>1.4311358601688301E-2</v>
      </c>
      <c r="D42">
        <f>IFERROR(LOOKUP(2,1/(Monthly_FX!$E:$E=A42),Monthly_FX!$B:$B),NA())</f>
        <v>15303.354838709678</v>
      </c>
    </row>
    <row r="43" spans="1:4" x14ac:dyDescent="0.25">
      <c r="A43" t="s">
        <v>3966</v>
      </c>
      <c r="B43">
        <f ca="1">IFERROR(LOOKUP(2,1/(Monthly_FX!$E:$E=A43),Monthly_FX!$F:$F),NA())</f>
        <v>2.0590269238620732E-2</v>
      </c>
      <c r="C43">
        <f ca="1">IFERROR(LOOKUP(2,1/(Monthly_FX!$E:$E=A43),Monthly_FX!$G:$G),NA())</f>
        <v>1.7456981192454243E-2</v>
      </c>
      <c r="D43">
        <f>IFERROR(LOOKUP(2,1/(Monthly_FX!$E:$E=A43),Monthly_FX!$B:$B),NA())</f>
        <v>14944.2</v>
      </c>
    </row>
    <row r="44" spans="1:4" x14ac:dyDescent="0.25">
      <c r="A44" t="s">
        <v>4061</v>
      </c>
      <c r="B44">
        <f ca="1">IFERROR(LOOKUP(2,1/(Monthly_FX!$E:$E=A44),Monthly_FX!$F:$F),NA())</f>
        <v>4.6296779129125542E-3</v>
      </c>
      <c r="C44">
        <f ca="1">IFERROR(LOOKUP(2,1/(Monthly_FX!$E:$E=A44),Monthly_FX!$G:$G),NA())</f>
        <v>1.6709321745815263E-2</v>
      </c>
      <c r="D44">
        <f>IFERROR(LOOKUP(2,1/(Monthly_FX!$E:$E=A44),Monthly_FX!$B:$B),NA())</f>
        <v>15357.466666666667</v>
      </c>
    </row>
    <row r="45" spans="1:4" x14ac:dyDescent="0.25">
      <c r="A45" t="s">
        <v>4157</v>
      </c>
      <c r="B45">
        <f ca="1">IFERROR(LOOKUP(2,1/(Monthly_FX!$E:$E=A45),Monthly_FX!$F:$F),NA())</f>
        <v>1.8602297614837091E-2</v>
      </c>
      <c r="C45">
        <f ca="1">IFERROR(LOOKUP(2,1/(Monthly_FX!$E:$E=A45),Monthly_FX!$G:$G),NA())</f>
        <v>1.5709732239699466E-2</v>
      </c>
      <c r="D45">
        <f>IFERROR(LOOKUP(2,1/(Monthly_FX!$E:$E=A45),Monthly_FX!$B:$B),NA())</f>
        <v>15506.451612903225</v>
      </c>
    </row>
    <row r="46" spans="1:4" x14ac:dyDescent="0.25">
      <c r="A46" t="s">
        <v>4253</v>
      </c>
      <c r="B46">
        <f ca="1">IFERROR(LOOKUP(2,1/(Monthly_FX!$E:$E=A46),Monthly_FX!$F:$F),NA())</f>
        <v>2.2418990317132183E-3</v>
      </c>
      <c r="C46">
        <f ca="1">IFERROR(LOOKUP(2,1/(Monthly_FX!$E:$E=A46),Monthly_FX!$G:$G),NA())</f>
        <v>1.367404273516448E-2</v>
      </c>
      <c r="D46">
        <f>IFERROR(LOOKUP(2,1/(Monthly_FX!$E:$E=A46),Monthly_FX!$B:$B),NA())</f>
        <v>15700.032258064517</v>
      </c>
    </row>
    <row r="47" spans="1:4" x14ac:dyDescent="0.25">
      <c r="A47" t="s">
        <v>4348</v>
      </c>
      <c r="B47">
        <f ca="1">IFERROR(LOOKUP(2,1/(Monthly_FX!$E:$E=A47),Monthly_FX!$F:$F),NA())</f>
        <v>1.029953276175008E-2</v>
      </c>
      <c r="C47">
        <f ca="1">IFERROR(LOOKUP(2,1/(Monthly_FX!$E:$E=A47),Monthly_FX!$G:$G),NA())</f>
        <v>1.0208087786747444E-2</v>
      </c>
      <c r="D47">
        <f>IFERROR(LOOKUP(2,1/(Monthly_FX!$E:$E=A47),Monthly_FX!$B:$B),NA())</f>
        <v>16327.3</v>
      </c>
    </row>
    <row r="48" spans="1:4" x14ac:dyDescent="0.25">
      <c r="A48" t="s">
        <v>4443</v>
      </c>
      <c r="B48">
        <f ca="1">IFERROR(LOOKUP(2,1/(Monthly_FX!$E:$E=A48),Monthly_FX!$F:$F),NA())</f>
        <v>1.4236760598934532E-2</v>
      </c>
      <c r="C48">
        <f ca="1">IFERROR(LOOKUP(2,1/(Monthly_FX!$E:$E=A48),Monthly_FX!$G:$G),NA())</f>
        <v>1.7075840654729682E-2</v>
      </c>
      <c r="D48">
        <f>IFERROR(LOOKUP(2,1/(Monthly_FX!$E:$E=A48),Monthly_FX!$B:$B),NA())</f>
        <v>15341.1</v>
      </c>
    </row>
    <row r="49" spans="1:4" x14ac:dyDescent="0.25">
      <c r="A49" t="s">
        <v>4539</v>
      </c>
      <c r="B49">
        <f ca="1">IFERROR(LOOKUP(2,1/(Monthly_FX!$E:$E=A49),Monthly_FX!$F:$F),NA())</f>
        <v>2.4835139926477853E-3</v>
      </c>
      <c r="C49">
        <f ca="1">IFERROR(LOOKUP(2,1/(Monthly_FX!$E:$E=A49),Monthly_FX!$G:$G),NA())</f>
        <v>1.6692487271202882E-2</v>
      </c>
      <c r="D49">
        <f>IFERROR(LOOKUP(2,1/(Monthly_FX!$E:$E=A49),Monthly_FX!$B:$B),NA())</f>
        <v>16041.41935483871</v>
      </c>
    </row>
    <row r="50" spans="1:4" x14ac:dyDescent="0.25">
      <c r="A50" t="s">
        <v>4635</v>
      </c>
      <c r="B50">
        <f ca="1">IFERROR(LOOKUP(2,1/(Monthly_FX!$E:$E=A50),Monthly_FX!$F:$F),NA())</f>
        <v>4.8713266787455854E-3</v>
      </c>
      <c r="C50">
        <f ca="1">IFERROR(LOOKUP(2,1/(Monthly_FX!$E:$E=A50),Monthly_FX!$G:$G),NA())</f>
        <v>1.7011305053762641E-2</v>
      </c>
      <c r="D50">
        <f>IFERROR(LOOKUP(2,1/(Monthly_FX!$E:$E=A50),Monthly_FX!$B:$B),NA())</f>
        <v>16462.225806451614</v>
      </c>
    </row>
    <row r="51" spans="1:4" x14ac:dyDescent="0.25">
      <c r="A51" t="s">
        <v>4729</v>
      </c>
      <c r="B51">
        <f ca="1">IFERROR(LOOKUP(2,1/(Monthly_FX!$E:$E=A51),Monthly_FX!$F:$F),NA())</f>
        <v>1.9437256102145205E-2</v>
      </c>
      <c r="C51">
        <f ca="1">IFERROR(LOOKUP(2,1/(Monthly_FX!$E:$E=A51),Monthly_FX!$G:$G),NA())</f>
        <v>1.7665206202411191E-2</v>
      </c>
      <c r="D51">
        <f>IFERROR(LOOKUP(2,1/(Monthly_FX!$E:$E=A51),Monthly_FX!$B:$B),NA())</f>
        <v>16305.7</v>
      </c>
    </row>
    <row r="52" spans="1:4" x14ac:dyDescent="0.25">
      <c r="A52" t="s">
        <v>4824</v>
      </c>
      <c r="B52">
        <f ca="1">IFERROR(LOOKUP(2,1/(Monthly_FX!$E:$E=A52),Monthly_FX!$F:$F),NA())</f>
        <v>7.8762447280297451E-3</v>
      </c>
      <c r="C52">
        <f ca="1">IFERROR(LOOKUP(2,1/(Monthly_FX!$E:$E=A52),Monthly_FX!$G:$G),NA())</f>
        <v>1.1515501875236539E-2</v>
      </c>
      <c r="D52">
        <f>IFERROR(LOOKUP(2,1/(Monthly_FX!$E:$E=A52),Monthly_FX!$B:$B),NA())</f>
        <v>16515.466666666667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>
      <selection activeCell="E10" sqref="E10"/>
    </sheetView>
  </sheetViews>
  <sheetFormatPr defaultRowHeight="15" x14ac:dyDescent="0.25"/>
  <cols>
    <col min="1" max="5" width="28" customWidth="1"/>
  </cols>
  <sheetData>
    <row r="1" spans="1:5" x14ac:dyDescent="0.25">
      <c r="A1" t="s">
        <v>4925</v>
      </c>
    </row>
    <row r="3" spans="1:5" x14ac:dyDescent="0.25">
      <c r="A3" t="s">
        <v>70</v>
      </c>
      <c r="B3" t="s">
        <v>4926</v>
      </c>
      <c r="C3" t="s">
        <v>4927</v>
      </c>
      <c r="D3" t="s">
        <v>4928</v>
      </c>
      <c r="E3" t="s">
        <v>4929</v>
      </c>
    </row>
    <row r="4" spans="1:5" x14ac:dyDescent="0.25">
      <c r="A4" t="s">
        <v>4636</v>
      </c>
      <c r="B4">
        <v>15500</v>
      </c>
      <c r="C4" t="s">
        <v>4927</v>
      </c>
      <c r="D4" t="s">
        <v>4930</v>
      </c>
      <c r="E4" t="s">
        <v>4931</v>
      </c>
    </row>
    <row r="5" spans="1:5" x14ac:dyDescent="0.25">
      <c r="A5" t="s">
        <v>4639</v>
      </c>
      <c r="B5">
        <v>15620</v>
      </c>
      <c r="C5">
        <f t="shared" ref="C5:C12" si="0">LN(B5)</f>
        <v>9.6563074233936774</v>
      </c>
      <c r="E5" t="e">
        <f ca="1">IF(ROW()&gt;=9,_xludf.STDEV.S(OFFSET(D5,-3,0,4,1)),NA())</f>
        <v>#N/A</v>
      </c>
    </row>
    <row r="6" spans="1:5" x14ac:dyDescent="0.25">
      <c r="A6" t="s">
        <v>4640</v>
      </c>
      <c r="B6">
        <v>15600</v>
      </c>
      <c r="C6">
        <f t="shared" si="0"/>
        <v>9.655026193237628</v>
      </c>
      <c r="D6">
        <f t="shared" ref="D6:D12" si="1">C6-C5</f>
        <v>-1.2812301560494177E-3</v>
      </c>
      <c r="E6" t="e">
        <f ca="1">IF(ROW()&gt;=9,_xludf.STDEV.S(OFFSET(D6,-3,0,4,1)),NA())</f>
        <v>#N/A</v>
      </c>
    </row>
    <row r="7" spans="1:5" x14ac:dyDescent="0.25">
      <c r="A7" t="s">
        <v>4641</v>
      </c>
      <c r="B7">
        <v>15710</v>
      </c>
      <c r="C7">
        <f t="shared" si="0"/>
        <v>9.6620527312496662</v>
      </c>
      <c r="D7">
        <f t="shared" si="1"/>
        <v>7.0265380120382304E-3</v>
      </c>
      <c r="E7" t="e">
        <f ca="1">IF(ROW()&gt;=9,_xludf.STDEV.S(OFFSET(D7,-3,0,4,1)),NA())</f>
        <v>#N/A</v>
      </c>
    </row>
    <row r="8" spans="1:5" x14ac:dyDescent="0.25">
      <c r="A8" t="s">
        <v>4642</v>
      </c>
      <c r="B8">
        <v>15680</v>
      </c>
      <c r="C8">
        <f t="shared" si="0"/>
        <v>9.6601412939043989</v>
      </c>
      <c r="D8">
        <f t="shared" si="1"/>
        <v>-1.9114373452673306E-3</v>
      </c>
      <c r="E8" t="e">
        <f ca="1">IF(ROW()&gt;=9,_xludf.STDEV.S(OFFSET(D8,-3,0,4,1)),NA())</f>
        <v>#N/A</v>
      </c>
    </row>
    <row r="9" spans="1:5" x14ac:dyDescent="0.25">
      <c r="A9" t="s">
        <v>4643</v>
      </c>
      <c r="B9">
        <v>15650</v>
      </c>
      <c r="C9">
        <f t="shared" si="0"/>
        <v>9.6582261959682985</v>
      </c>
      <c r="D9">
        <f t="shared" si="1"/>
        <v>-1.9150979361004516E-3</v>
      </c>
      <c r="E9" t="e">
        <f ca="1">IF(ROW()&gt;=9,_xludf.STDEV.S(OFFSET(D9,-3,0,4,1)),NA())</f>
        <v>#NAME?</v>
      </c>
    </row>
    <row r="10" spans="1:5" x14ac:dyDescent="0.25">
      <c r="A10" t="s">
        <v>4644</v>
      </c>
      <c r="B10">
        <v>15730</v>
      </c>
      <c r="C10">
        <f t="shared" si="0"/>
        <v>9.6633249960523226</v>
      </c>
      <c r="D10">
        <f t="shared" si="1"/>
        <v>5.0988000840241909E-3</v>
      </c>
      <c r="E10" t="e">
        <f ca="1">IF(ROW()&gt;=9,_xludf.STDEV.S(OFFSET(D10,-3,0,4,1)),NA())</f>
        <v>#NAME?</v>
      </c>
    </row>
    <row r="11" spans="1:5" x14ac:dyDescent="0.25">
      <c r="A11" t="s">
        <v>4647</v>
      </c>
      <c r="B11">
        <v>15800</v>
      </c>
      <c r="C11">
        <f t="shared" si="0"/>
        <v>9.6677652190150578</v>
      </c>
      <c r="D11">
        <f t="shared" si="1"/>
        <v>4.440222962735163E-3</v>
      </c>
      <c r="E11" t="e">
        <f ca="1">IF(ROW()&gt;=9,_xludf.STDEV.S(OFFSET(D11,-3,0,4,1)),NA())</f>
        <v>#NAME?</v>
      </c>
    </row>
    <row r="12" spans="1:5" x14ac:dyDescent="0.25">
      <c r="C12" t="e">
        <f t="shared" si="0"/>
        <v>#NUM!</v>
      </c>
      <c r="D12" t="e">
        <f t="shared" si="1"/>
        <v>#NUM!</v>
      </c>
      <c r="E12" t="e">
        <f ca="1">IF(ROW()&gt;=9,_xludf.STDEV.S(OFFSET(D12,-3,0,4,1)),NA())</f>
        <v>#NAME?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Quarterly_Firm</vt:lpstr>
      <vt:lpstr>FX_Calc</vt:lpstr>
      <vt:lpstr>CFV_Calc</vt:lpstr>
      <vt:lpstr>Constructed_Variables</vt:lpstr>
      <vt:lpstr>Notes</vt:lpstr>
      <vt:lpstr>Charts</vt:lpstr>
      <vt:lpstr>Daily_FX</vt:lpstr>
      <vt:lpstr>Monthly_FX</vt:lpstr>
      <vt:lpstr>Quarterly_FX</vt:lpstr>
      <vt:lpstr>FX_Volatility_Explained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Pika</cp:lastModifiedBy>
  <dcterms:created xsi:type="dcterms:W3CDTF">2025-10-16T03:10:32Z</dcterms:created>
  <dcterms:modified xsi:type="dcterms:W3CDTF">2025-10-22T02:14:56Z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NywgIm5vZGUxIiA6IHsiZHNkIjoiMDEwMDAwMDAwMDAwMjQ2OSIsImxvZ1RpbWUiOiIyMDI1LTEwLTIwVDAwOjE5OjI2WiIsInBJRCI6MSwidHJhY2VJZCI6Ijg1RkFDQkRENkQ3RTQ4MEFBQTA2MDkyMTIyMzIyN0FCIiwidXNlckNvZGUiOiJrYWxhcGllLmFzdHJhZ2luYSJ9LCJub2RlMiIgOiB7ImRzZCI6IjAxMDAwMDAwMDAwMDI0NjkiLCJsb2dUaW1lIjoiMjAyNS0xMC0yMFQwOTowNTowOVoiLCJwSUQiOjEsInRyYWNlSWQiOiJDMEE2RkYzNTJCNDQ0MEFGOURCOEJEOUJGQzVCMDg5OCIsInVzZXJDb2RlIjoia2FsYXBpZS5hc3RyYWdpbmEifSwibm9kZTMiIDogeyJkc2QiOiIwMTAwMDAwMDAwMDAyNDY5IiwibG9nVGltZSI6IjIwMjUtMTAtMjFUMDM6NTQ6NDBaIiwicElEIjoxLCJ0cmFjZUlkIjoiMjc5QkRBQTE2RjcyNDgxMzk5MEJDNkJFOEFDOTBBMDAiLCJ1c2VyQ29kZSI6ImthbGFwaWUuYXN0cmFnaW5hIn0sIm5vZGU0IiA6IHsiZHNkIjoiMDEwMDAwMDAwMDAwMjQ2OSIsImxvZ1RpbWUiOiIyMDI1LTEwLTIyVDAyOjE0OjU0WiIsInBJRCI6MSwidHJhY2VJZCI6IjVDOEFDNTJDMzI3MzRCNjA4REMxOTMxRTFFQ0FEMDVEIiwidXNlckNvZGUiOiJrYWxhcGllLmFzdHJhZ2luYSJ9LCJub2RlNSIgOiB7ICJ1c2VyQ29kZSIgOiAia2FsYXBpZS5hc3RyYWdpbmEiLCAidHJhY2VJZCIgOiAiMDZCNEUwNUNDQTFGNTJFNzM1RDE1NjQwQ0FFOTJEQkMiLCAiZHNkIiA6ICIwMDAwMDAwMDAwMDAwMDAwIiwgInBJRCIgOiAiMjA0OCIsICJsb2dUaW1lIiA6ICIyMDI1LTEwLTI3VDA2OjA0OjIyWiIgfX0=</vt:lpwstr>
  </property>
</Properties>
</file>